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21"/>
  <workbookPr/>
  <mc:AlternateContent xmlns:mc="http://schemas.openxmlformats.org/markup-compatibility/2006">
    <mc:Choice Requires="x15">
      <x15ac:absPath xmlns:x15ac="http://schemas.microsoft.com/office/spreadsheetml/2010/11/ac" url="/Users/andrea/Documents/GitHub/HECATE_BikeAndDrone/eBike_controller/"/>
    </mc:Choice>
  </mc:AlternateContent>
  <xr:revisionPtr revIDLastSave="0" documentId="13_ncr:1_{C21180B4-1CD2-F243-8528-1A4F8C19F792}" xr6:coauthVersionLast="47" xr6:coauthVersionMax="47" xr10:uidLastSave="{00000000-0000-0000-0000-000000000000}"/>
  <bookViews>
    <workbookView xWindow="0" yWindow="660" windowWidth="30240" windowHeight="17700" activeTab="1" xr2:uid="{00000000-000D-0000-FFFF-FFFF00000000}"/>
  </bookViews>
  <sheets>
    <sheet name="Results" sheetId="1" r:id="rId1"/>
    <sheet name="Times" sheetId="3" r:id="rId2"/>
    <sheet name="Sheet1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70" i="4" l="1"/>
  <c r="AD69" i="4"/>
  <c r="AD68" i="4"/>
  <c r="AD67" i="4"/>
  <c r="AA72" i="4"/>
  <c r="AA71" i="4"/>
  <c r="AA70" i="4"/>
  <c r="AA69" i="4"/>
  <c r="AA68" i="4"/>
  <c r="AA67" i="4"/>
  <c r="Z67" i="4"/>
  <c r="X56" i="4"/>
  <c r="Z56" i="4" s="1"/>
  <c r="X59" i="4"/>
  <c r="Z59" i="4" s="1"/>
  <c r="X58" i="4"/>
  <c r="Z58" i="4" s="1"/>
  <c r="X57" i="4"/>
  <c r="Z57" i="4" s="1"/>
  <c r="AC57" i="4"/>
  <c r="AC56" i="4"/>
  <c r="AE56" i="4" s="1"/>
  <c r="AC59" i="4"/>
  <c r="AE59" i="4" s="1"/>
  <c r="AC58" i="4"/>
  <c r="AE58" i="4" s="1"/>
  <c r="AE57" i="4"/>
  <c r="AM38" i="4"/>
  <c r="J139" i="4"/>
  <c r="J138" i="4"/>
  <c r="J137" i="4"/>
  <c r="J136" i="4"/>
  <c r="AM41" i="4"/>
  <c r="AO41" i="4" s="1"/>
  <c r="AM40" i="4"/>
  <c r="AM39" i="4"/>
  <c r="AO39" i="4" s="1"/>
  <c r="AO38" i="4"/>
  <c r="AO40" i="4"/>
  <c r="AM49" i="4"/>
  <c r="AO49" i="4" s="1"/>
  <c r="AM48" i="4"/>
  <c r="AO48" i="4" s="1"/>
  <c r="AM47" i="4"/>
  <c r="AO47" i="4" s="1"/>
  <c r="AM46" i="4"/>
  <c r="AO46" i="4"/>
  <c r="J33" i="3"/>
  <c r="J32" i="3"/>
  <c r="J31" i="3"/>
  <c r="J30" i="3"/>
  <c r="J19" i="3"/>
  <c r="J18" i="3"/>
  <c r="J17" i="3"/>
  <c r="J16" i="3"/>
  <c r="R19" i="3"/>
  <c r="R18" i="3"/>
  <c r="R17" i="3"/>
  <c r="R16" i="3"/>
  <c r="R33" i="3"/>
  <c r="R32" i="3"/>
  <c r="R31" i="3"/>
  <c r="R30" i="3"/>
  <c r="R136" i="4"/>
  <c r="R137" i="4"/>
  <c r="R138" i="4"/>
  <c r="R139" i="4"/>
  <c r="AC70" i="4"/>
  <c r="AC69" i="4"/>
  <c r="AC72" i="4" s="1"/>
  <c r="AC67" i="4"/>
  <c r="AB70" i="4"/>
  <c r="AB69" i="4"/>
  <c r="AB67" i="4"/>
  <c r="Z70" i="4"/>
  <c r="Z69" i="4"/>
  <c r="Y69" i="4"/>
  <c r="Y70" i="4"/>
  <c r="Y67" i="4"/>
  <c r="X70" i="4"/>
  <c r="X69" i="4"/>
  <c r="AC68" i="4"/>
  <c r="AB68" i="4"/>
  <c r="Z68" i="4"/>
  <c r="Y68" i="4"/>
  <c r="X68" i="4"/>
  <c r="X67" i="4"/>
  <c r="AH49" i="4"/>
  <c r="AJ49" i="4" s="1"/>
  <c r="AH48" i="4"/>
  <c r="AJ48" i="4" s="1"/>
  <c r="AH47" i="4"/>
  <c r="AJ47" i="4" s="1"/>
  <c r="AH46" i="4"/>
  <c r="AJ46" i="4" s="1"/>
  <c r="AC49" i="4"/>
  <c r="AE49" i="4" s="1"/>
  <c r="AC48" i="4"/>
  <c r="AE48" i="4" s="1"/>
  <c r="AC47" i="4"/>
  <c r="AE47" i="4" s="1"/>
  <c r="AC46" i="4"/>
  <c r="AE46" i="4" s="1"/>
  <c r="AH41" i="4"/>
  <c r="AJ41" i="4" s="1"/>
  <c r="AH40" i="4"/>
  <c r="AJ40" i="4" s="1"/>
  <c r="AH39" i="4"/>
  <c r="AJ39" i="4" s="1"/>
  <c r="AH38" i="4"/>
  <c r="AJ38" i="4" s="1"/>
  <c r="AC38" i="4"/>
  <c r="AE38" i="4" s="1"/>
  <c r="AC41" i="4"/>
  <c r="AE41" i="4" s="1"/>
  <c r="AC40" i="4"/>
  <c r="AE40" i="4" s="1"/>
  <c r="AC39" i="4"/>
  <c r="AE39" i="4" s="1"/>
  <c r="X38" i="4"/>
  <c r="Z38" i="4" s="1"/>
  <c r="X41" i="4"/>
  <c r="Z41" i="4" s="1"/>
  <c r="X40" i="4"/>
  <c r="Z40" i="4" s="1"/>
  <c r="X39" i="4"/>
  <c r="Z39" i="4" s="1"/>
  <c r="X14" i="4"/>
  <c r="Z14" i="4" s="1"/>
  <c r="X13" i="4"/>
  <c r="Z13" i="4" s="1"/>
  <c r="X12" i="4"/>
  <c r="Z12" i="4" s="1"/>
  <c r="X11" i="4"/>
  <c r="Z11" i="4" s="1"/>
  <c r="L69" i="4"/>
  <c r="N69" i="4"/>
  <c r="P69" i="4"/>
  <c r="L70" i="4"/>
  <c r="N70" i="4"/>
  <c r="P70" i="4"/>
  <c r="L71" i="4"/>
  <c r="N71" i="4"/>
  <c r="P71" i="4"/>
  <c r="L72" i="4"/>
  <c r="N72" i="4"/>
  <c r="P72" i="4"/>
  <c r="L136" i="4"/>
  <c r="N136" i="4"/>
  <c r="P136" i="4"/>
  <c r="L137" i="4"/>
  <c r="N137" i="4"/>
  <c r="P137" i="4"/>
  <c r="L138" i="4"/>
  <c r="N138" i="4"/>
  <c r="P138" i="4"/>
  <c r="L139" i="4"/>
  <c r="N139" i="4"/>
  <c r="P139" i="4"/>
  <c r="H139" i="4"/>
  <c r="F139" i="4"/>
  <c r="D139" i="4"/>
  <c r="H138" i="4"/>
  <c r="F138" i="4"/>
  <c r="D138" i="4"/>
  <c r="H137" i="4"/>
  <c r="F137" i="4"/>
  <c r="D137" i="4"/>
  <c r="H136" i="4"/>
  <c r="F136" i="4"/>
  <c r="D136" i="4"/>
  <c r="D69" i="4"/>
  <c r="F69" i="4"/>
  <c r="D70" i="4"/>
  <c r="F70" i="4"/>
  <c r="D71" i="4"/>
  <c r="F71" i="4"/>
  <c r="D72" i="4"/>
  <c r="F72" i="4"/>
  <c r="H72" i="4"/>
  <c r="H71" i="4"/>
  <c r="H70" i="4"/>
  <c r="H69" i="4"/>
  <c r="P33" i="3"/>
  <c r="N33" i="3"/>
  <c r="L33" i="3"/>
  <c r="H33" i="3"/>
  <c r="F33" i="3"/>
  <c r="D33" i="3"/>
  <c r="P32" i="3"/>
  <c r="N32" i="3"/>
  <c r="L32" i="3"/>
  <c r="H32" i="3"/>
  <c r="F32" i="3"/>
  <c r="D32" i="3"/>
  <c r="P31" i="3"/>
  <c r="N31" i="3"/>
  <c r="L31" i="3"/>
  <c r="H31" i="3"/>
  <c r="F31" i="3"/>
  <c r="D31" i="3"/>
  <c r="P30" i="3"/>
  <c r="N30" i="3"/>
  <c r="L30" i="3"/>
  <c r="H30" i="3"/>
  <c r="F30" i="3"/>
  <c r="D30" i="3"/>
  <c r="F16" i="3"/>
  <c r="H16" i="3"/>
  <c r="L16" i="3"/>
  <c r="N16" i="3"/>
  <c r="P16" i="3"/>
  <c r="F17" i="3"/>
  <c r="H17" i="3"/>
  <c r="L17" i="3"/>
  <c r="N17" i="3"/>
  <c r="P17" i="3"/>
  <c r="F18" i="3"/>
  <c r="H18" i="3"/>
  <c r="L18" i="3"/>
  <c r="N18" i="3"/>
  <c r="P18" i="3"/>
  <c r="F19" i="3"/>
  <c r="H19" i="3"/>
  <c r="L19" i="3"/>
  <c r="N19" i="3"/>
  <c r="P19" i="3"/>
  <c r="D19" i="3"/>
  <c r="D18" i="3"/>
  <c r="D17" i="3"/>
  <c r="D16" i="3"/>
  <c r="AD71" i="4" l="1"/>
  <c r="AD72" i="4"/>
  <c r="X72" i="4"/>
  <c r="Z72" i="4"/>
  <c r="Y71" i="4"/>
  <c r="Z71" i="4"/>
  <c r="X71" i="4"/>
  <c r="Y72" i="4"/>
  <c r="AC71" i="4"/>
  <c r="AB72" i="4"/>
  <c r="AB71" i="4"/>
</calcChain>
</file>

<file path=xl/sharedStrings.xml><?xml version="1.0" encoding="utf-8"?>
<sst xmlns="http://schemas.openxmlformats.org/spreadsheetml/2006/main" count="580" uniqueCount="117">
  <si>
    <t>SA_TALIRO</t>
  </si>
  <si>
    <t>UR_TALIRO</t>
  </si>
  <si>
    <t xml:space="preserve">REQ_1 </t>
  </si>
  <si>
    <t>REQ_2</t>
  </si>
  <si>
    <t>REQ_3</t>
  </si>
  <si>
    <t>MODEL</t>
  </si>
  <si>
    <t>PTS</t>
  </si>
  <si>
    <t>FR</t>
  </si>
  <si>
    <t>S-</t>
  </si>
  <si>
    <t>Ŝ</t>
  </si>
  <si>
    <t>PWM</t>
  </si>
  <si>
    <t>t-pyramid-0</t>
  </si>
  <si>
    <t>10/10</t>
  </si>
  <si>
    <t>1.8</t>
  </si>
  <si>
    <t>1.5</t>
  </si>
  <si>
    <t>8.2</t>
  </si>
  <si>
    <t>7.5</t>
  </si>
  <si>
    <t>1.0</t>
  </si>
  <si>
    <t>1.6</t>
  </si>
  <si>
    <t>9.6</t>
  </si>
  <si>
    <t>4.0</t>
  </si>
  <si>
    <t>1.9</t>
  </si>
  <si>
    <t>t-pyrmid-85</t>
  </si>
  <si>
    <t>4.4</t>
  </si>
  <si>
    <t>3.0</t>
  </si>
  <si>
    <t>3.9</t>
  </si>
  <si>
    <t>7.6</t>
  </si>
  <si>
    <t>t-pyramid-130</t>
  </si>
  <si>
    <t>5.3</t>
  </si>
  <si>
    <t>5.0</t>
  </si>
  <si>
    <t>10.6</t>
  </si>
  <si>
    <t>8.5</t>
  </si>
  <si>
    <t>1.1</t>
  </si>
  <si>
    <t>rect-pulse-0</t>
  </si>
  <si>
    <t>12.9</t>
  </si>
  <si>
    <t>12.5</t>
  </si>
  <si>
    <t>4.7</t>
  </si>
  <si>
    <t>2.7</t>
  </si>
  <si>
    <t>2.0</t>
  </si>
  <si>
    <t>8.9</t>
  </si>
  <si>
    <t>6.0</t>
  </si>
  <si>
    <t>8.6</t>
  </si>
  <si>
    <t>rect-pulse-85</t>
  </si>
  <si>
    <t>15.2</t>
  </si>
  <si>
    <t>13.5</t>
  </si>
  <si>
    <t>2.6</t>
  </si>
  <si>
    <t>14.6</t>
  </si>
  <si>
    <t>2.5</t>
  </si>
  <si>
    <t>rect-pulse-130</t>
  </si>
  <si>
    <t>10.2</t>
  </si>
  <si>
    <t>8.0</t>
  </si>
  <si>
    <t>2.8</t>
  </si>
  <si>
    <t>6.7</t>
  </si>
  <si>
    <t>2.2</t>
  </si>
  <si>
    <t>BUCK</t>
  </si>
  <si>
    <t>0/10</t>
  </si>
  <si>
    <t>15.3</t>
  </si>
  <si>
    <t>14.0</t>
  </si>
  <si>
    <t>2.9</t>
  </si>
  <si>
    <t>4/10</t>
  </si>
  <si>
    <t>28.8</t>
  </si>
  <si>
    <t>26.0</t>
  </si>
  <si>
    <t>8.1</t>
  </si>
  <si>
    <t>19.5</t>
  </si>
  <si>
    <t>18.0</t>
  </si>
  <si>
    <t>3.1</t>
  </si>
  <si>
    <t>5/10</t>
  </si>
  <si>
    <t>17.6</t>
  </si>
  <si>
    <t>22.0</t>
  </si>
  <si>
    <t>4.3</t>
  </si>
  <si>
    <t>3.7</t>
  </si>
  <si>
    <t>2.3</t>
  </si>
  <si>
    <t>2.1</t>
  </si>
  <si>
    <t>4.1</t>
  </si>
  <si>
    <t>7.1</t>
  </si>
  <si>
    <t>7.3</t>
  </si>
  <si>
    <t>5.9</t>
  </si>
  <si>
    <t>1.7</t>
  </si>
  <si>
    <t>2.4</t>
  </si>
  <si>
    <t>T</t>
  </si>
  <si>
    <t>MEDIA</t>
  </si>
  <si>
    <t>MIN</t>
  </si>
  <si>
    <t>MAX</t>
  </si>
  <si>
    <t>STD</t>
  </si>
  <si>
    <t>-</t>
  </si>
  <si>
    <t>Run</t>
  </si>
  <si>
    <t>t-pyramid-85</t>
  </si>
  <si>
    <t>AVG</t>
  </si>
  <si>
    <t xml:space="preserve"> -</t>
  </si>
  <si>
    <t>TOTAL</t>
  </si>
  <si>
    <t>As time</t>
  </si>
  <si>
    <t>Avg</t>
  </si>
  <si>
    <t>Min</t>
  </si>
  <si>
    <t>Max</t>
  </si>
  <si>
    <t>Std</t>
  </si>
  <si>
    <t>PWM R1</t>
  </si>
  <si>
    <t>PWM R2</t>
  </si>
  <si>
    <t>PWM R3</t>
  </si>
  <si>
    <t>BUCK R2</t>
  </si>
  <si>
    <t>BUCK R3</t>
  </si>
  <si>
    <t>SA</t>
  </si>
  <si>
    <t>UR</t>
  </si>
  <si>
    <t>Boxplot Data</t>
  </si>
  <si>
    <t>Buck R2</t>
  </si>
  <si>
    <t>Buck R3</t>
  </si>
  <si>
    <t>Median</t>
  </si>
  <si>
    <t>Average</t>
  </si>
  <si>
    <t>Lower Quartile</t>
  </si>
  <si>
    <t>Upper Quartile</t>
  </si>
  <si>
    <t>Upper Whisker</t>
  </si>
  <si>
    <t>Lower Wisker</t>
  </si>
  <si>
    <t>REQ_4</t>
  </si>
  <si>
    <t>1.3</t>
  </si>
  <si>
    <t>BUCK R4</t>
  </si>
  <si>
    <t>PWM R4</t>
  </si>
  <si>
    <t>Buck R4</t>
  </si>
  <si>
    <t>1.4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</si>
</sst>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[$-F400]h:mm:ss\ AM/PM"/>
    <numFmt numFmtId="166" formatCode="#,##0.0000"/>
    <numFmt numFmtId="170" formatCode="0.0000"/>
  </numFmts>
  <fonts count="1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rgb="FF000000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 applyAlignment="1">
      <alignment horizontal="center" vertical="center"/>
    </xf>
    <xf numFmtId="0" fontId="0" fillId="0" borderId="4" xfId="0" applyBorder="1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49" fontId="0" fillId="2" borderId="4" xfId="0" applyNumberFormat="1" applyFill="1" applyBorder="1" applyAlignment="1">
      <alignment horizontal="center"/>
    </xf>
    <xf numFmtId="164" fontId="0" fillId="2" borderId="4" xfId="0" applyNumberForma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49" fontId="0" fillId="0" borderId="4" xfId="0" applyNumberFormat="1" applyBorder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/>
    </xf>
    <xf numFmtId="164" fontId="0" fillId="0" borderId="4" xfId="0" applyNumberFormat="1" applyBorder="1" applyAlignment="1">
      <alignment horizontal="center"/>
    </xf>
    <xf numFmtId="49" fontId="0" fillId="2" borderId="4" xfId="0" applyNumberForma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1" fontId="0" fillId="0" borderId="4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  <xf numFmtId="1" fontId="0" fillId="0" borderId="4" xfId="0" applyNumberFormat="1" applyBorder="1" applyAlignment="1">
      <alignment horizontal="center" vertical="center"/>
    </xf>
    <xf numFmtId="1" fontId="0" fillId="0" borderId="4" xfId="0" quotePrefix="1" applyNumberFormat="1" applyBorder="1" applyAlignment="1">
      <alignment horizontal="center"/>
    </xf>
    <xf numFmtId="1" fontId="5" fillId="0" borderId="4" xfId="0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5" fontId="0" fillId="0" borderId="4" xfId="0" applyNumberFormat="1" applyBorder="1" applyAlignment="1">
      <alignment horizontal="center"/>
    </xf>
    <xf numFmtId="165" fontId="0" fillId="0" borderId="0" xfId="0" applyNumberFormat="1" applyAlignment="1">
      <alignment horizontal="center"/>
    </xf>
    <xf numFmtId="0" fontId="0" fillId="4" borderId="0" xfId="0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3" fillId="0" borderId="4" xfId="0" applyFont="1" applyBorder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0" fillId="0" borderId="0" xfId="0" applyAlignment="1">
      <alignment horizontal="right"/>
    </xf>
    <xf numFmtId="166" fontId="0" fillId="0" borderId="0" xfId="0" applyNumberFormat="1" applyAlignment="1">
      <alignment horizontal="right"/>
    </xf>
    <xf numFmtId="0" fontId="2" fillId="0" borderId="0" xfId="0" applyFont="1" applyAlignment="1">
      <alignment horizontal="right" vertical="center"/>
    </xf>
    <xf numFmtId="1" fontId="0" fillId="0" borderId="0" xfId="0" applyNumberFormat="1" applyAlignment="1">
      <alignment horizontal="right"/>
    </xf>
    <xf numFmtId="0" fontId="2" fillId="0" borderId="0" xfId="0" applyFont="1" applyAlignment="1">
      <alignment horizontal="right"/>
    </xf>
    <xf numFmtId="0" fontId="0" fillId="0" borderId="0" xfId="0" applyAlignment="1">
      <alignment wrapText="1"/>
    </xf>
    <xf numFmtId="0" fontId="8" fillId="0" borderId="0" xfId="0" applyFont="1"/>
    <xf numFmtId="0" fontId="8" fillId="0" borderId="0" xfId="0" applyFont="1" applyAlignment="1">
      <alignment horizontal="center"/>
    </xf>
    <xf numFmtId="0" fontId="10" fillId="0" borderId="0" xfId="0" applyFont="1"/>
    <xf numFmtId="0" fontId="9" fillId="0" borderId="0" xfId="0" applyFont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65" fontId="10" fillId="0" borderId="0" xfId="0" applyNumberFormat="1" applyFont="1" applyAlignment="1">
      <alignment horizontal="center"/>
    </xf>
    <xf numFmtId="0" fontId="6" fillId="3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" fillId="0" borderId="4" xfId="0" applyFont="1" applyBorder="1" applyAlignment="1">
      <alignment horizontal="right" vertical="center"/>
    </xf>
    <xf numFmtId="0" fontId="9" fillId="6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  <xf numFmtId="0" fontId="7" fillId="3" borderId="10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49" fontId="0" fillId="0" borderId="4" xfId="0" applyNumberForma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164" fontId="0" fillId="0" borderId="4" xfId="0" applyNumberFormat="1" applyFill="1" applyBorder="1" applyAlignment="1">
      <alignment horizontal="center"/>
    </xf>
    <xf numFmtId="49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/>
    </xf>
    <xf numFmtId="0" fontId="3" fillId="0" borderId="8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0" fillId="0" borderId="0" xfId="0" applyFill="1"/>
    <xf numFmtId="49" fontId="0" fillId="0" borderId="4" xfId="0" applyNumberFormat="1" applyFill="1" applyBorder="1" applyAlignment="1">
      <alignment horizontal="center" vertical="center"/>
    </xf>
    <xf numFmtId="49" fontId="5" fillId="0" borderId="4" xfId="0" applyNumberFormat="1" applyFont="1" applyFill="1" applyBorder="1" applyAlignment="1">
      <alignment horizontal="center" vertical="center"/>
    </xf>
    <xf numFmtId="166" fontId="0" fillId="0" borderId="0" xfId="0" applyNumberFormat="1"/>
    <xf numFmtId="170" fontId="0" fillId="0" borderId="0" xfId="0" applyNumberFormat="1"/>
    <xf numFmtId="0" fontId="3" fillId="0" borderId="0" xfId="0" applyFont="1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49" fontId="5" fillId="0" borderId="0" xfId="0" applyNumberFormat="1" applyFont="1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4" fontId="0" fillId="0" borderId="0" xfId="0" applyNumberFormat="1" applyFill="1" applyBorder="1" applyAlignment="1">
      <alignment horizontal="center"/>
    </xf>
    <xf numFmtId="170" fontId="2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170" fontId="0" fillId="0" borderId="0" xfId="0" applyNumberFormat="1" applyAlignment="1">
      <alignment horizontal="right"/>
    </xf>
    <xf numFmtId="170" fontId="1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3"/>
  <sheetViews>
    <sheetView zoomScaleNormal="100" workbookViewId="0">
      <selection activeCell="R26" sqref="R26"/>
    </sheetView>
  </sheetViews>
  <sheetFormatPr baseColWidth="10" defaultColWidth="8.83203125" defaultRowHeight="15" x14ac:dyDescent="0.2"/>
  <cols>
    <col min="1" max="1" width="8.1640625" style="1" bestFit="1" customWidth="1"/>
    <col min="2" max="2" width="13.83203125" bestFit="1" customWidth="1"/>
    <col min="3" max="3" width="1.6640625" customWidth="1"/>
    <col min="7" max="7" width="1" customWidth="1"/>
    <col min="11" max="11" width="0.83203125" style="79" customWidth="1"/>
    <col min="15" max="15" width="1" customWidth="1"/>
    <col min="23" max="23" width="1.33203125" customWidth="1"/>
    <col min="27" max="27" width="0.6640625" style="79" customWidth="1"/>
    <col min="31" max="31" width="1.5" customWidth="1"/>
  </cols>
  <sheetData>
    <row r="1" spans="1:34" ht="14.5" customHeight="1" x14ac:dyDescent="0.2">
      <c r="D1" s="44" t="s">
        <v>0</v>
      </c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T1" s="44" t="s">
        <v>1</v>
      </c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</row>
    <row r="2" spans="1:34" ht="14.5" customHeight="1" x14ac:dyDescent="0.2"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</row>
    <row r="3" spans="1:34" ht="16" x14ac:dyDescent="0.2">
      <c r="D3" s="54" t="s">
        <v>2</v>
      </c>
      <c r="E3" s="55"/>
      <c r="F3" s="56"/>
      <c r="G3" s="3"/>
      <c r="H3" s="54" t="s">
        <v>3</v>
      </c>
      <c r="I3" s="55"/>
      <c r="J3" s="56"/>
      <c r="K3" s="84"/>
      <c r="L3" s="54" t="s">
        <v>4</v>
      </c>
      <c r="M3" s="55"/>
      <c r="N3" s="56"/>
      <c r="O3" s="3"/>
      <c r="P3" s="54" t="s">
        <v>111</v>
      </c>
      <c r="Q3" s="55"/>
      <c r="R3" s="56"/>
      <c r="T3" s="54" t="s">
        <v>2</v>
      </c>
      <c r="U3" s="55"/>
      <c r="V3" s="56"/>
      <c r="W3" s="3"/>
      <c r="X3" s="54" t="s">
        <v>3</v>
      </c>
      <c r="Y3" s="55"/>
      <c r="Z3" s="56"/>
      <c r="AA3" s="84"/>
      <c r="AB3" s="54" t="s">
        <v>4</v>
      </c>
      <c r="AC3" s="55"/>
      <c r="AD3" s="56"/>
      <c r="AE3" s="3"/>
      <c r="AF3" s="71" t="s">
        <v>4</v>
      </c>
      <c r="AG3" s="72"/>
      <c r="AH3" s="73"/>
    </row>
    <row r="4" spans="1:34" ht="16" x14ac:dyDescent="0.2">
      <c r="D4" s="57"/>
      <c r="E4" s="58"/>
      <c r="F4" s="59"/>
      <c r="G4" s="3"/>
      <c r="H4" s="57"/>
      <c r="I4" s="58"/>
      <c r="J4" s="59"/>
      <c r="K4" s="84"/>
      <c r="L4" s="57"/>
      <c r="M4" s="58"/>
      <c r="N4" s="59"/>
      <c r="O4" s="3"/>
      <c r="P4" s="57"/>
      <c r="Q4" s="58"/>
      <c r="R4" s="59"/>
      <c r="T4" s="57"/>
      <c r="U4" s="58"/>
      <c r="V4" s="59"/>
      <c r="W4" s="3"/>
      <c r="X4" s="57"/>
      <c r="Y4" s="58"/>
      <c r="Z4" s="59"/>
      <c r="AA4" s="84"/>
      <c r="AB4" s="57"/>
      <c r="AC4" s="58"/>
      <c r="AD4" s="59"/>
      <c r="AE4" s="3"/>
      <c r="AF4" s="74"/>
      <c r="AG4" s="75"/>
      <c r="AH4" s="76"/>
    </row>
    <row r="5" spans="1:34" ht="16" x14ac:dyDescent="0.2">
      <c r="D5" s="4"/>
      <c r="E5" s="4"/>
      <c r="F5" s="4"/>
      <c r="G5" s="3"/>
      <c r="H5" s="4"/>
      <c r="I5" s="4"/>
      <c r="J5" s="4"/>
      <c r="K5" s="77"/>
      <c r="L5" s="4"/>
      <c r="M5" s="4"/>
      <c r="N5" s="4"/>
      <c r="O5" s="3"/>
      <c r="P5" s="4"/>
      <c r="Q5" s="4"/>
      <c r="R5" s="4"/>
      <c r="T5" s="4"/>
      <c r="U5" s="4"/>
      <c r="V5" s="4"/>
      <c r="W5" s="3"/>
      <c r="X5" s="4"/>
      <c r="Y5" s="4"/>
      <c r="Z5" s="4"/>
      <c r="AA5" s="77"/>
      <c r="AB5" s="4"/>
      <c r="AC5" s="4"/>
      <c r="AD5" s="4"/>
      <c r="AE5" s="3"/>
      <c r="AF5" s="77"/>
      <c r="AG5" s="77"/>
      <c r="AH5" s="77"/>
    </row>
    <row r="6" spans="1:34" ht="16" x14ac:dyDescent="0.2">
      <c r="A6" s="5" t="s">
        <v>5</v>
      </c>
      <c r="B6" s="5" t="s">
        <v>6</v>
      </c>
      <c r="D6" s="5" t="s">
        <v>7</v>
      </c>
      <c r="E6" s="5" t="s">
        <v>8</v>
      </c>
      <c r="F6" s="5" t="s">
        <v>9</v>
      </c>
      <c r="G6" s="3"/>
      <c r="H6" s="5" t="s">
        <v>7</v>
      </c>
      <c r="I6" s="5" t="s">
        <v>8</v>
      </c>
      <c r="J6" s="5" t="s">
        <v>9</v>
      </c>
      <c r="K6" s="84"/>
      <c r="L6" s="5" t="s">
        <v>7</v>
      </c>
      <c r="M6" s="5" t="s">
        <v>8</v>
      </c>
      <c r="N6" s="5" t="s">
        <v>9</v>
      </c>
      <c r="O6" s="3"/>
      <c r="P6" s="5" t="s">
        <v>7</v>
      </c>
      <c r="Q6" s="5" t="s">
        <v>8</v>
      </c>
      <c r="R6" s="5" t="s">
        <v>9</v>
      </c>
      <c r="T6" s="5" t="s">
        <v>7</v>
      </c>
      <c r="U6" s="5" t="s">
        <v>8</v>
      </c>
      <c r="V6" s="5" t="s">
        <v>9</v>
      </c>
      <c r="W6" s="3"/>
      <c r="X6" s="5" t="s">
        <v>7</v>
      </c>
      <c r="Y6" s="5" t="s">
        <v>8</v>
      </c>
      <c r="Z6" s="5" t="s">
        <v>9</v>
      </c>
      <c r="AA6" s="84"/>
      <c r="AB6" s="5" t="s">
        <v>7</v>
      </c>
      <c r="AC6" s="5" t="s">
        <v>8</v>
      </c>
      <c r="AD6" s="5" t="s">
        <v>9</v>
      </c>
      <c r="AE6" s="3"/>
      <c r="AF6" s="78" t="s">
        <v>7</v>
      </c>
      <c r="AG6" s="78" t="s">
        <v>8</v>
      </c>
      <c r="AH6" s="78" t="s">
        <v>9</v>
      </c>
    </row>
    <row r="7" spans="1:34" ht="16" x14ac:dyDescent="0.2">
      <c r="A7" s="4"/>
      <c r="AF7" s="79"/>
      <c r="AG7" s="79"/>
      <c r="AH7" s="79"/>
    </row>
    <row r="8" spans="1:34" ht="14.5" customHeight="1" x14ac:dyDescent="0.2">
      <c r="A8" s="60" t="s">
        <v>10</v>
      </c>
      <c r="B8" s="2" t="s">
        <v>11</v>
      </c>
      <c r="D8" s="11" t="s">
        <v>12</v>
      </c>
      <c r="E8" s="12" t="s">
        <v>13</v>
      </c>
      <c r="F8" s="12" t="s">
        <v>14</v>
      </c>
      <c r="G8" s="9"/>
      <c r="H8" s="6" t="s">
        <v>12</v>
      </c>
      <c r="I8" s="6" t="s">
        <v>15</v>
      </c>
      <c r="J8" s="6" t="s">
        <v>16</v>
      </c>
      <c r="K8" s="87"/>
      <c r="L8" s="11" t="s">
        <v>12</v>
      </c>
      <c r="M8" s="12" t="s">
        <v>13</v>
      </c>
      <c r="N8" s="15" t="s">
        <v>17</v>
      </c>
      <c r="O8" s="9"/>
      <c r="P8" s="66"/>
      <c r="Q8" s="67"/>
      <c r="R8" s="68"/>
      <c r="T8" s="11" t="s">
        <v>12</v>
      </c>
      <c r="U8" s="12" t="s">
        <v>18</v>
      </c>
      <c r="V8" s="12" t="s">
        <v>17</v>
      </c>
      <c r="W8" s="9"/>
      <c r="X8" s="13" t="s">
        <v>12</v>
      </c>
      <c r="Y8" s="13" t="s">
        <v>19</v>
      </c>
      <c r="Z8" s="13" t="s">
        <v>20</v>
      </c>
      <c r="AA8" s="85"/>
      <c r="AB8" s="13" t="s">
        <v>12</v>
      </c>
      <c r="AC8" s="13" t="s">
        <v>21</v>
      </c>
      <c r="AD8" s="13" t="s">
        <v>14</v>
      </c>
      <c r="AE8" s="9"/>
      <c r="AF8" s="80"/>
      <c r="AG8" s="80"/>
      <c r="AH8" s="80"/>
    </row>
    <row r="9" spans="1:34" ht="14.5" customHeight="1" x14ac:dyDescent="0.2">
      <c r="A9" s="61"/>
      <c r="B9" s="2" t="s">
        <v>22</v>
      </c>
      <c r="D9" s="6" t="s">
        <v>12</v>
      </c>
      <c r="E9" s="8" t="s">
        <v>23</v>
      </c>
      <c r="F9" s="7" t="s">
        <v>24</v>
      </c>
      <c r="G9" s="9"/>
      <c r="H9" s="11" t="s">
        <v>12</v>
      </c>
      <c r="I9" s="12" t="s">
        <v>25</v>
      </c>
      <c r="J9" s="12" t="s">
        <v>20</v>
      </c>
      <c r="K9" s="88"/>
      <c r="L9" s="11" t="s">
        <v>12</v>
      </c>
      <c r="M9" s="15" t="s">
        <v>17</v>
      </c>
      <c r="N9" s="15" t="s">
        <v>17</v>
      </c>
      <c r="O9" s="9"/>
      <c r="P9" s="66"/>
      <c r="Q9" s="68"/>
      <c r="R9" s="68"/>
      <c r="T9" s="13" t="s">
        <v>12</v>
      </c>
      <c r="U9" s="13" t="s">
        <v>26</v>
      </c>
      <c r="V9" s="13" t="s">
        <v>20</v>
      </c>
      <c r="W9" s="9"/>
      <c r="X9" s="16" t="s">
        <v>12</v>
      </c>
      <c r="Y9" s="17" t="s">
        <v>24</v>
      </c>
      <c r="Z9" s="16" t="s">
        <v>24</v>
      </c>
      <c r="AA9" s="85"/>
      <c r="AB9" s="13" t="s">
        <v>12</v>
      </c>
      <c r="AC9" s="13" t="s">
        <v>17</v>
      </c>
      <c r="AD9" s="13" t="s">
        <v>17</v>
      </c>
      <c r="AE9" s="9"/>
      <c r="AF9" s="80"/>
      <c r="AG9" s="80"/>
      <c r="AH9" s="80"/>
    </row>
    <row r="10" spans="1:34" ht="15" customHeight="1" x14ac:dyDescent="0.2">
      <c r="A10" s="61"/>
      <c r="B10" s="2" t="s">
        <v>27</v>
      </c>
      <c r="D10" s="6" t="s">
        <v>12</v>
      </c>
      <c r="E10" s="8" t="s">
        <v>28</v>
      </c>
      <c r="F10" s="7" t="s">
        <v>29</v>
      </c>
      <c r="G10" s="9"/>
      <c r="H10" s="11" t="s">
        <v>12</v>
      </c>
      <c r="I10" s="12" t="s">
        <v>13</v>
      </c>
      <c r="J10" s="15" t="s">
        <v>17</v>
      </c>
      <c r="K10" s="89"/>
      <c r="L10" s="11" t="s">
        <v>12</v>
      </c>
      <c r="M10" s="15" t="s">
        <v>17</v>
      </c>
      <c r="N10" s="15" t="s">
        <v>17</v>
      </c>
      <c r="O10" s="9"/>
      <c r="P10" s="66"/>
      <c r="Q10" s="68"/>
      <c r="R10" s="68"/>
      <c r="T10" s="13" t="s">
        <v>12</v>
      </c>
      <c r="U10" s="13" t="s">
        <v>30</v>
      </c>
      <c r="V10" s="13" t="s">
        <v>31</v>
      </c>
      <c r="W10" s="9"/>
      <c r="X10" s="13" t="s">
        <v>12</v>
      </c>
      <c r="Y10" s="13" t="s">
        <v>32</v>
      </c>
      <c r="Z10" s="13" t="s">
        <v>17</v>
      </c>
      <c r="AA10" s="85"/>
      <c r="AB10" s="13" t="s">
        <v>12</v>
      </c>
      <c r="AC10" s="13" t="s">
        <v>17</v>
      </c>
      <c r="AD10" s="13" t="s">
        <v>17</v>
      </c>
      <c r="AE10" s="9"/>
      <c r="AF10" s="80"/>
      <c r="AG10" s="80"/>
      <c r="AH10" s="80"/>
    </row>
    <row r="11" spans="1:34" ht="15" customHeight="1" x14ac:dyDescent="0.2">
      <c r="A11" s="61"/>
      <c r="B11" s="2"/>
      <c r="D11" s="9"/>
      <c r="E11" s="10"/>
      <c r="F11" s="10"/>
      <c r="G11" s="9"/>
      <c r="H11" s="9"/>
      <c r="I11" s="10"/>
      <c r="J11" s="10"/>
      <c r="K11" s="70"/>
      <c r="L11" s="9"/>
      <c r="M11" s="10"/>
      <c r="N11" s="10"/>
      <c r="O11" s="9"/>
      <c r="P11" s="69"/>
      <c r="Q11" s="70"/>
      <c r="R11" s="70"/>
      <c r="T11" s="9"/>
      <c r="U11" s="10"/>
      <c r="V11" s="10"/>
      <c r="W11" s="9"/>
      <c r="X11" s="9"/>
      <c r="Y11" s="10"/>
      <c r="Z11" s="10"/>
      <c r="AA11" s="70"/>
      <c r="AB11" s="9"/>
      <c r="AC11" s="10"/>
      <c r="AD11" s="10"/>
      <c r="AE11" s="9"/>
      <c r="AF11" s="69"/>
      <c r="AG11" s="70"/>
      <c r="AH11" s="70"/>
    </row>
    <row r="12" spans="1:34" ht="14.5" customHeight="1" x14ac:dyDescent="0.2">
      <c r="A12" s="61"/>
      <c r="B12" s="2" t="s">
        <v>33</v>
      </c>
      <c r="D12" s="11" t="s">
        <v>12</v>
      </c>
      <c r="E12" s="12" t="s">
        <v>34</v>
      </c>
      <c r="F12" s="12" t="s">
        <v>35</v>
      </c>
      <c r="G12" s="9"/>
      <c r="H12" s="6" t="s">
        <v>12</v>
      </c>
      <c r="I12" s="8" t="s">
        <v>36</v>
      </c>
      <c r="J12" s="7" t="s">
        <v>20</v>
      </c>
      <c r="K12" s="89"/>
      <c r="L12" s="11" t="s">
        <v>12</v>
      </c>
      <c r="M12" s="15" t="s">
        <v>37</v>
      </c>
      <c r="N12" s="15" t="s">
        <v>38</v>
      </c>
      <c r="O12" s="9"/>
      <c r="P12" s="66"/>
      <c r="Q12" s="68"/>
      <c r="R12" s="68"/>
      <c r="T12" s="16" t="s">
        <v>12</v>
      </c>
      <c r="U12" s="17" t="s">
        <v>39</v>
      </c>
      <c r="V12" s="16" t="s">
        <v>40</v>
      </c>
      <c r="W12" s="9"/>
      <c r="X12" s="13" t="s">
        <v>12</v>
      </c>
      <c r="Y12" s="13" t="s">
        <v>41</v>
      </c>
      <c r="Z12" s="13" t="s">
        <v>31</v>
      </c>
      <c r="AA12" s="85"/>
      <c r="AB12" s="16" t="s">
        <v>12</v>
      </c>
      <c r="AC12" s="16" t="s">
        <v>18</v>
      </c>
      <c r="AD12" s="16" t="s">
        <v>17</v>
      </c>
      <c r="AE12" s="9"/>
      <c r="AF12" s="80"/>
      <c r="AG12" s="80"/>
      <c r="AH12" s="80"/>
    </row>
    <row r="13" spans="1:34" ht="14.5" customHeight="1" x14ac:dyDescent="0.2">
      <c r="A13" s="61"/>
      <c r="B13" s="2" t="s">
        <v>42</v>
      </c>
      <c r="D13" s="11" t="s">
        <v>12</v>
      </c>
      <c r="E13" s="12" t="s">
        <v>43</v>
      </c>
      <c r="F13" s="12" t="s">
        <v>44</v>
      </c>
      <c r="G13" s="9"/>
      <c r="H13" s="11" t="s">
        <v>12</v>
      </c>
      <c r="I13" s="12" t="s">
        <v>45</v>
      </c>
      <c r="J13" s="15" t="s">
        <v>38</v>
      </c>
      <c r="K13" s="89"/>
      <c r="L13" s="11" t="s">
        <v>12</v>
      </c>
      <c r="M13" s="15" t="s">
        <v>17</v>
      </c>
      <c r="N13" s="15" t="s">
        <v>17</v>
      </c>
      <c r="O13" s="9"/>
      <c r="P13" s="66"/>
      <c r="Q13" s="68"/>
      <c r="R13" s="68"/>
      <c r="T13" s="11" t="s">
        <v>12</v>
      </c>
      <c r="U13" s="12" t="s">
        <v>46</v>
      </c>
      <c r="V13" s="12" t="s">
        <v>35</v>
      </c>
      <c r="W13" s="9"/>
      <c r="X13" s="13" t="s">
        <v>12</v>
      </c>
      <c r="Y13" s="13" t="s">
        <v>24</v>
      </c>
      <c r="Z13" s="13" t="s">
        <v>47</v>
      </c>
      <c r="AA13" s="85"/>
      <c r="AB13" s="13" t="s">
        <v>12</v>
      </c>
      <c r="AC13" s="13" t="s">
        <v>17</v>
      </c>
      <c r="AD13" s="13" t="s">
        <v>17</v>
      </c>
      <c r="AE13" s="9"/>
      <c r="AF13" s="80"/>
      <c r="AG13" s="80"/>
      <c r="AH13" s="80"/>
    </row>
    <row r="14" spans="1:34" ht="15" customHeight="1" x14ac:dyDescent="0.2">
      <c r="A14" s="62"/>
      <c r="B14" s="2" t="s">
        <v>48</v>
      </c>
      <c r="D14" s="11" t="s">
        <v>12</v>
      </c>
      <c r="E14" s="12" t="s">
        <v>49</v>
      </c>
      <c r="F14" s="15" t="s">
        <v>50</v>
      </c>
      <c r="G14" s="9"/>
      <c r="H14" s="11" t="s">
        <v>12</v>
      </c>
      <c r="I14" s="12" t="s">
        <v>51</v>
      </c>
      <c r="J14" s="12" t="s">
        <v>14</v>
      </c>
      <c r="K14" s="88"/>
      <c r="L14" s="11" t="s">
        <v>12</v>
      </c>
      <c r="M14" s="15" t="s">
        <v>17</v>
      </c>
      <c r="N14" s="15" t="s">
        <v>17</v>
      </c>
      <c r="O14" s="9"/>
      <c r="P14" s="66"/>
      <c r="Q14" s="68"/>
      <c r="R14" s="68"/>
      <c r="T14" s="16" t="s">
        <v>12</v>
      </c>
      <c r="U14" s="17" t="s">
        <v>52</v>
      </c>
      <c r="V14" s="16" t="s">
        <v>20</v>
      </c>
      <c r="W14" s="9"/>
      <c r="X14" s="13" t="s">
        <v>12</v>
      </c>
      <c r="Y14" s="13" t="s">
        <v>53</v>
      </c>
      <c r="Z14" s="13" t="s">
        <v>14</v>
      </c>
      <c r="AA14" s="85"/>
      <c r="AB14" s="13" t="s">
        <v>12</v>
      </c>
      <c r="AC14" s="13" t="s">
        <v>17</v>
      </c>
      <c r="AD14" s="13" t="s">
        <v>17</v>
      </c>
      <c r="AE14" s="9"/>
      <c r="AF14" s="80"/>
      <c r="AG14" s="80"/>
      <c r="AH14" s="80"/>
    </row>
    <row r="15" spans="1:34" ht="16" x14ac:dyDescent="0.2">
      <c r="A15" s="4"/>
      <c r="D15" s="9"/>
      <c r="E15" s="10"/>
      <c r="F15" s="10"/>
      <c r="G15" s="9"/>
      <c r="H15" s="9"/>
      <c r="I15" s="10"/>
      <c r="J15" s="10"/>
      <c r="K15" s="70"/>
      <c r="L15" s="9"/>
      <c r="M15" s="10"/>
      <c r="N15" s="10"/>
      <c r="O15" s="9"/>
      <c r="P15" s="69"/>
      <c r="Q15" s="70"/>
      <c r="R15" s="70"/>
      <c r="T15" s="9"/>
      <c r="U15" s="10"/>
      <c r="V15" s="10"/>
      <c r="W15" s="9"/>
      <c r="X15" s="9"/>
      <c r="Y15" s="10"/>
      <c r="Z15" s="10"/>
      <c r="AA15" s="70"/>
      <c r="AB15" s="9"/>
      <c r="AC15" s="10"/>
      <c r="AD15" s="10"/>
      <c r="AE15" s="9"/>
      <c r="AF15" s="69"/>
      <c r="AG15" s="70"/>
      <c r="AH15" s="70"/>
    </row>
    <row r="16" spans="1:34" ht="16" x14ac:dyDescent="0.2">
      <c r="A16" s="4"/>
      <c r="D16" s="9"/>
      <c r="E16" s="10"/>
      <c r="F16" s="10"/>
      <c r="G16" s="9"/>
      <c r="H16" s="9"/>
      <c r="I16" s="10"/>
      <c r="J16" s="10"/>
      <c r="K16" s="70"/>
      <c r="L16" s="9"/>
      <c r="M16" s="10"/>
      <c r="N16" s="10"/>
      <c r="O16" s="9"/>
      <c r="P16" s="69"/>
      <c r="Q16" s="70"/>
      <c r="R16" s="70"/>
      <c r="T16" s="9"/>
      <c r="U16" s="10"/>
      <c r="V16" s="10"/>
      <c r="W16" s="9"/>
      <c r="X16" s="9"/>
      <c r="Y16" s="10"/>
      <c r="Z16" s="10"/>
      <c r="AA16" s="70"/>
      <c r="AB16" s="9"/>
      <c r="AC16" s="10"/>
      <c r="AD16" s="10"/>
      <c r="AE16" s="9"/>
      <c r="AF16" s="69"/>
      <c r="AG16" s="70"/>
      <c r="AH16" s="70"/>
    </row>
    <row r="17" spans="1:34" ht="14.5" customHeight="1" x14ac:dyDescent="0.2">
      <c r="A17" s="60" t="s">
        <v>54</v>
      </c>
      <c r="B17" s="2" t="s">
        <v>11</v>
      </c>
      <c r="D17" s="11" t="s">
        <v>55</v>
      </c>
      <c r="E17" s="12"/>
      <c r="F17" s="12"/>
      <c r="G17" s="9"/>
      <c r="H17" s="6" t="s">
        <v>12</v>
      </c>
      <c r="I17" s="8" t="s">
        <v>56</v>
      </c>
      <c r="J17" s="8" t="s">
        <v>57</v>
      </c>
      <c r="K17" s="88"/>
      <c r="L17" s="6" t="s">
        <v>12</v>
      </c>
      <c r="M17" s="8" t="s">
        <v>58</v>
      </c>
      <c r="N17" s="8" t="s">
        <v>38</v>
      </c>
      <c r="O17" s="9"/>
      <c r="P17" s="66" t="s">
        <v>12</v>
      </c>
      <c r="Q17" s="81" t="s">
        <v>77</v>
      </c>
      <c r="R17" s="81" t="s">
        <v>17</v>
      </c>
      <c r="T17" s="13" t="s">
        <v>55</v>
      </c>
      <c r="U17" s="13"/>
      <c r="V17" s="13"/>
      <c r="W17" s="9"/>
      <c r="X17" s="14" t="s">
        <v>59</v>
      </c>
      <c r="Y17" s="14" t="s">
        <v>60</v>
      </c>
      <c r="Z17" s="14" t="s">
        <v>61</v>
      </c>
      <c r="AA17" s="86"/>
      <c r="AB17" s="14" t="s">
        <v>12</v>
      </c>
      <c r="AC17" s="14" t="s">
        <v>62</v>
      </c>
      <c r="AD17" s="14" t="s">
        <v>24</v>
      </c>
      <c r="AE17" s="9"/>
      <c r="AF17" s="66" t="s">
        <v>12</v>
      </c>
      <c r="AG17" s="81" t="s">
        <v>112</v>
      </c>
      <c r="AH17" s="81" t="s">
        <v>17</v>
      </c>
    </row>
    <row r="18" spans="1:34" ht="15" customHeight="1" x14ac:dyDescent="0.2">
      <c r="A18" s="61"/>
      <c r="B18" s="2" t="s">
        <v>22</v>
      </c>
      <c r="D18" s="11" t="s">
        <v>55</v>
      </c>
      <c r="E18" s="12"/>
      <c r="F18" s="12"/>
      <c r="G18" s="9"/>
      <c r="H18" s="6" t="s">
        <v>12</v>
      </c>
      <c r="I18" s="6" t="s">
        <v>63</v>
      </c>
      <c r="J18" s="6" t="s">
        <v>64</v>
      </c>
      <c r="K18" s="87"/>
      <c r="L18" s="6" t="s">
        <v>12</v>
      </c>
      <c r="M18" s="8" t="s">
        <v>65</v>
      </c>
      <c r="N18" s="8" t="s">
        <v>47</v>
      </c>
      <c r="O18" s="9"/>
      <c r="P18" s="66" t="s">
        <v>12</v>
      </c>
      <c r="Q18" s="68" t="s">
        <v>17</v>
      </c>
      <c r="R18" s="68" t="s">
        <v>17</v>
      </c>
      <c r="T18" s="13" t="s">
        <v>55</v>
      </c>
      <c r="U18" s="13"/>
      <c r="V18" s="13"/>
      <c r="W18" s="9"/>
      <c r="X18" s="13" t="s">
        <v>66</v>
      </c>
      <c r="Y18" s="13" t="s">
        <v>67</v>
      </c>
      <c r="Z18" s="13" t="s">
        <v>68</v>
      </c>
      <c r="AA18" s="85"/>
      <c r="AB18" s="13" t="s">
        <v>12</v>
      </c>
      <c r="AC18" s="13" t="s">
        <v>69</v>
      </c>
      <c r="AD18" s="13" t="s">
        <v>20</v>
      </c>
      <c r="AE18" s="9"/>
      <c r="AF18" s="66" t="s">
        <v>12</v>
      </c>
      <c r="AG18" s="68" t="s">
        <v>17</v>
      </c>
      <c r="AH18" s="68" t="s">
        <v>17</v>
      </c>
    </row>
    <row r="19" spans="1:34" ht="15" customHeight="1" x14ac:dyDescent="0.2">
      <c r="A19" s="61"/>
      <c r="B19" s="2" t="s">
        <v>27</v>
      </c>
      <c r="D19" s="11" t="s">
        <v>55</v>
      </c>
      <c r="E19" s="12"/>
      <c r="F19" s="12"/>
      <c r="G19" s="9"/>
      <c r="H19" s="11" t="s">
        <v>12</v>
      </c>
      <c r="I19" s="15" t="s">
        <v>70</v>
      </c>
      <c r="J19" s="15" t="s">
        <v>38</v>
      </c>
      <c r="K19" s="89"/>
      <c r="L19" s="11" t="s">
        <v>12</v>
      </c>
      <c r="M19" s="12" t="s">
        <v>71</v>
      </c>
      <c r="N19" s="12" t="s">
        <v>17</v>
      </c>
      <c r="O19" s="9"/>
      <c r="P19" s="66" t="s">
        <v>12</v>
      </c>
      <c r="Q19" s="68" t="s">
        <v>17</v>
      </c>
      <c r="R19" s="68" t="s">
        <v>17</v>
      </c>
      <c r="T19" s="13" t="s">
        <v>55</v>
      </c>
      <c r="U19" s="13"/>
      <c r="V19" s="13"/>
      <c r="W19" s="9"/>
      <c r="X19" s="16" t="s">
        <v>12</v>
      </c>
      <c r="Y19" s="16" t="s">
        <v>21</v>
      </c>
      <c r="Z19" s="16" t="s">
        <v>17</v>
      </c>
      <c r="AA19" s="85"/>
      <c r="AB19" s="13" t="s">
        <v>12</v>
      </c>
      <c r="AC19" s="13" t="s">
        <v>72</v>
      </c>
      <c r="AD19" s="13" t="s">
        <v>14</v>
      </c>
      <c r="AE19" s="9"/>
      <c r="AF19" s="66" t="s">
        <v>12</v>
      </c>
      <c r="AG19" s="68" t="s">
        <v>17</v>
      </c>
      <c r="AH19" s="68" t="s">
        <v>17</v>
      </c>
    </row>
    <row r="20" spans="1:34" ht="14.5" customHeight="1" x14ac:dyDescent="0.2">
      <c r="A20" s="61"/>
      <c r="B20" s="2"/>
      <c r="D20" s="9"/>
      <c r="E20" s="10"/>
      <c r="F20" s="10"/>
      <c r="G20" s="9"/>
      <c r="H20" s="9"/>
      <c r="I20" s="10"/>
      <c r="J20" s="10"/>
      <c r="K20" s="70"/>
      <c r="L20" s="9"/>
      <c r="M20" s="10"/>
      <c r="N20" s="10"/>
      <c r="O20" s="9"/>
      <c r="P20" s="69"/>
      <c r="Q20" s="70"/>
      <c r="R20" s="70"/>
      <c r="T20" s="1"/>
      <c r="U20" s="1"/>
      <c r="V20" s="1"/>
      <c r="W20" s="9"/>
      <c r="X20" s="9"/>
      <c r="Y20" s="10"/>
      <c r="Z20" s="10"/>
      <c r="AA20" s="70"/>
      <c r="AB20" s="9"/>
      <c r="AC20" s="10"/>
      <c r="AD20" s="10"/>
      <c r="AE20" s="9"/>
      <c r="AF20" s="69"/>
      <c r="AG20" s="70"/>
      <c r="AH20" s="70"/>
    </row>
    <row r="21" spans="1:34" ht="14.5" customHeight="1" x14ac:dyDescent="0.2">
      <c r="A21" s="61"/>
      <c r="B21" s="2" t="s">
        <v>33</v>
      </c>
      <c r="D21" s="11" t="s">
        <v>55</v>
      </c>
      <c r="E21" s="12"/>
      <c r="F21" s="12"/>
      <c r="G21" s="9"/>
      <c r="H21" s="11" t="s">
        <v>12</v>
      </c>
      <c r="I21" s="12" t="s">
        <v>73</v>
      </c>
      <c r="J21" s="12" t="s">
        <v>20</v>
      </c>
      <c r="K21" s="88"/>
      <c r="L21" s="11" t="s">
        <v>12</v>
      </c>
      <c r="M21" s="12" t="s">
        <v>74</v>
      </c>
      <c r="N21" s="12" t="s">
        <v>50</v>
      </c>
      <c r="O21" s="9"/>
      <c r="P21" s="66" t="s">
        <v>12</v>
      </c>
      <c r="Q21" s="67" t="s">
        <v>116</v>
      </c>
      <c r="R21" s="67" t="s">
        <v>17</v>
      </c>
      <c r="T21" s="13" t="s">
        <v>55</v>
      </c>
      <c r="U21" s="13"/>
      <c r="V21" s="13"/>
      <c r="W21" s="9"/>
      <c r="X21" s="16" t="s">
        <v>12</v>
      </c>
      <c r="Y21" s="17" t="s">
        <v>58</v>
      </c>
      <c r="Z21" s="16" t="s">
        <v>38</v>
      </c>
      <c r="AA21" s="85"/>
      <c r="AB21" s="11" t="s">
        <v>12</v>
      </c>
      <c r="AC21" s="12" t="s">
        <v>75</v>
      </c>
      <c r="AD21" s="12" t="s">
        <v>16</v>
      </c>
      <c r="AE21" s="9"/>
      <c r="AF21" s="66" t="s">
        <v>12</v>
      </c>
      <c r="AG21" s="67" t="s">
        <v>32</v>
      </c>
      <c r="AH21" s="67" t="s">
        <v>17</v>
      </c>
    </row>
    <row r="22" spans="1:34" ht="15" customHeight="1" x14ac:dyDescent="0.2">
      <c r="A22" s="61"/>
      <c r="B22" s="2" t="s">
        <v>42</v>
      </c>
      <c r="D22" s="11" t="s">
        <v>55</v>
      </c>
      <c r="E22" s="12"/>
      <c r="F22" s="12"/>
      <c r="G22" s="9"/>
      <c r="H22" s="11" t="s">
        <v>12</v>
      </c>
      <c r="I22" s="12" t="s">
        <v>76</v>
      </c>
      <c r="J22" s="12" t="s">
        <v>20</v>
      </c>
      <c r="K22" s="88"/>
      <c r="L22" s="11" t="s">
        <v>12</v>
      </c>
      <c r="M22" s="15" t="s">
        <v>77</v>
      </c>
      <c r="N22" s="15" t="s">
        <v>17</v>
      </c>
      <c r="O22" s="9"/>
      <c r="P22" s="66" t="s">
        <v>12</v>
      </c>
      <c r="Q22" s="68" t="s">
        <v>17</v>
      </c>
      <c r="R22" s="68" t="s">
        <v>17</v>
      </c>
      <c r="T22" s="13" t="s">
        <v>55</v>
      </c>
      <c r="U22" s="13"/>
      <c r="V22" s="13"/>
      <c r="W22" s="9"/>
      <c r="X22" s="16" t="s">
        <v>12</v>
      </c>
      <c r="Y22" s="17" t="s">
        <v>78</v>
      </c>
      <c r="Z22" s="16" t="s">
        <v>38</v>
      </c>
      <c r="AA22" s="85"/>
      <c r="AB22" s="11" t="s">
        <v>12</v>
      </c>
      <c r="AC22" s="15" t="s">
        <v>18</v>
      </c>
      <c r="AD22" s="15" t="s">
        <v>14</v>
      </c>
      <c r="AE22" s="9"/>
      <c r="AF22" s="66" t="s">
        <v>12</v>
      </c>
      <c r="AG22" s="68" t="s">
        <v>17</v>
      </c>
      <c r="AH22" s="68" t="s">
        <v>17</v>
      </c>
    </row>
    <row r="23" spans="1:34" ht="15" customHeight="1" x14ac:dyDescent="0.2">
      <c r="A23" s="62"/>
      <c r="B23" s="2" t="s">
        <v>48</v>
      </c>
      <c r="D23" s="11" t="s">
        <v>55</v>
      </c>
      <c r="E23" s="12"/>
      <c r="F23" s="12"/>
      <c r="G23" s="9"/>
      <c r="H23" s="13" t="s">
        <v>12</v>
      </c>
      <c r="I23" s="13" t="s">
        <v>45</v>
      </c>
      <c r="J23" s="13" t="s">
        <v>47</v>
      </c>
      <c r="K23" s="85"/>
      <c r="L23" s="11" t="s">
        <v>12</v>
      </c>
      <c r="M23" s="15" t="s">
        <v>17</v>
      </c>
      <c r="N23" s="15" t="s">
        <v>17</v>
      </c>
      <c r="O23" s="9"/>
      <c r="P23" s="66" t="s">
        <v>12</v>
      </c>
      <c r="Q23" s="68" t="s">
        <v>17</v>
      </c>
      <c r="R23" s="68" t="s">
        <v>17</v>
      </c>
      <c r="T23" s="13" t="s">
        <v>55</v>
      </c>
      <c r="U23" s="13"/>
      <c r="V23" s="13"/>
      <c r="W23" s="9"/>
      <c r="X23" s="13" t="s">
        <v>12</v>
      </c>
      <c r="Y23" s="13" t="s">
        <v>37</v>
      </c>
      <c r="Z23" s="13" t="s">
        <v>24</v>
      </c>
      <c r="AA23" s="85"/>
      <c r="AB23" s="11" t="s">
        <v>12</v>
      </c>
      <c r="AC23" s="15" t="s">
        <v>17</v>
      </c>
      <c r="AD23" s="15" t="s">
        <v>17</v>
      </c>
      <c r="AE23" s="9"/>
      <c r="AF23" s="66" t="s">
        <v>12</v>
      </c>
      <c r="AG23" s="68" t="s">
        <v>17</v>
      </c>
      <c r="AH23" s="68" t="s">
        <v>17</v>
      </c>
    </row>
  </sheetData>
  <mergeCells count="12">
    <mergeCell ref="A17:A23"/>
    <mergeCell ref="D3:F4"/>
    <mergeCell ref="H3:J4"/>
    <mergeCell ref="L3:N4"/>
    <mergeCell ref="A8:A14"/>
    <mergeCell ref="D1:R2"/>
    <mergeCell ref="T1:AH2"/>
    <mergeCell ref="T3:V4"/>
    <mergeCell ref="X3:Z4"/>
    <mergeCell ref="AB3:AD4"/>
    <mergeCell ref="P3:R4"/>
    <mergeCell ref="AF3:AH4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E9AEA-D75E-434A-978C-01541575A73F}">
  <dimension ref="A1:R33"/>
  <sheetViews>
    <sheetView tabSelected="1" zoomScaleNormal="100" workbookViewId="0">
      <selection activeCell="J29" sqref="J29"/>
    </sheetView>
  </sheetViews>
  <sheetFormatPr baseColWidth="10" defaultColWidth="8.83203125" defaultRowHeight="15" x14ac:dyDescent="0.2"/>
  <cols>
    <col min="1" max="1" width="8.1640625" style="1" bestFit="1" customWidth="1"/>
    <col min="2" max="2" width="13.83203125" bestFit="1" customWidth="1"/>
    <col min="3" max="3" width="1.6640625" customWidth="1"/>
    <col min="4" max="4" width="12.1640625" bestFit="1" customWidth="1"/>
    <col min="5" max="5" width="1" customWidth="1"/>
    <col min="7" max="7" width="1" customWidth="1"/>
    <col min="9" max="9" width="1.33203125" customWidth="1"/>
    <col min="13" max="13" width="1.33203125" customWidth="1"/>
    <col min="15" max="15" width="1.5" customWidth="1"/>
    <col min="17" max="17" width="1.33203125" customWidth="1"/>
  </cols>
  <sheetData>
    <row r="1" spans="1:18" ht="14.5" customHeight="1" x14ac:dyDescent="0.2">
      <c r="A1" s="27"/>
      <c r="D1" s="64" t="s">
        <v>0</v>
      </c>
      <c r="E1" s="65"/>
      <c r="F1" s="65"/>
      <c r="G1" s="65"/>
      <c r="H1" s="65"/>
      <c r="I1" s="65"/>
      <c r="J1" s="65"/>
      <c r="L1" s="64" t="s">
        <v>1</v>
      </c>
      <c r="M1" s="65"/>
      <c r="N1" s="65"/>
      <c r="O1" s="65"/>
      <c r="P1" s="65"/>
      <c r="Q1" s="65"/>
      <c r="R1" s="65"/>
    </row>
    <row r="2" spans="1:18" ht="14.5" customHeight="1" x14ac:dyDescent="0.2">
      <c r="D2" s="64"/>
      <c r="E2" s="65"/>
      <c r="F2" s="65"/>
      <c r="G2" s="65"/>
      <c r="H2" s="65"/>
      <c r="I2" s="65"/>
      <c r="J2" s="65"/>
      <c r="L2" s="64"/>
      <c r="M2" s="65"/>
      <c r="N2" s="65"/>
      <c r="O2" s="65"/>
      <c r="P2" s="65"/>
      <c r="Q2" s="65"/>
      <c r="R2" s="65"/>
    </row>
    <row r="3" spans="1:18" ht="16" x14ac:dyDescent="0.2">
      <c r="D3" s="45" t="s">
        <v>2</v>
      </c>
      <c r="E3" s="3"/>
      <c r="F3" s="45" t="s">
        <v>3</v>
      </c>
      <c r="G3" s="3"/>
      <c r="H3" s="45" t="s">
        <v>4</v>
      </c>
      <c r="J3" s="45" t="s">
        <v>111</v>
      </c>
      <c r="L3" s="45" t="s">
        <v>2</v>
      </c>
      <c r="M3" s="3"/>
      <c r="N3" s="45" t="s">
        <v>3</v>
      </c>
      <c r="O3" s="3"/>
      <c r="P3" s="45" t="s">
        <v>4</v>
      </c>
      <c r="R3" s="45" t="s">
        <v>111</v>
      </c>
    </row>
    <row r="4" spans="1:18" ht="16" x14ac:dyDescent="0.2">
      <c r="D4" s="45"/>
      <c r="E4" s="3"/>
      <c r="F4" s="45"/>
      <c r="G4" s="3"/>
      <c r="H4" s="45"/>
      <c r="J4" s="45"/>
      <c r="L4" s="45"/>
      <c r="M4" s="3"/>
      <c r="N4" s="45"/>
      <c r="O4" s="3"/>
      <c r="P4" s="45"/>
      <c r="R4" s="45"/>
    </row>
    <row r="5" spans="1:18" ht="16" x14ac:dyDescent="0.2">
      <c r="D5" s="4"/>
      <c r="E5" s="3"/>
      <c r="F5" s="4"/>
      <c r="G5" s="3"/>
      <c r="H5" s="4"/>
      <c r="J5" s="4"/>
      <c r="L5" s="4"/>
      <c r="M5" s="3"/>
      <c r="N5" s="4"/>
      <c r="O5" s="3"/>
      <c r="P5" s="4"/>
      <c r="R5" s="4"/>
    </row>
    <row r="6" spans="1:18" ht="16" x14ac:dyDescent="0.2">
      <c r="A6" s="5" t="s">
        <v>5</v>
      </c>
      <c r="B6" s="5" t="s">
        <v>6</v>
      </c>
      <c r="D6" s="5" t="s">
        <v>79</v>
      </c>
      <c r="E6" s="3"/>
      <c r="F6" s="5" t="s">
        <v>79</v>
      </c>
      <c r="G6" s="3"/>
      <c r="H6" s="5" t="s">
        <v>79</v>
      </c>
      <c r="J6" s="5" t="s">
        <v>79</v>
      </c>
      <c r="L6" s="5" t="s">
        <v>79</v>
      </c>
      <c r="M6" s="3"/>
      <c r="N6" s="5" t="s">
        <v>79</v>
      </c>
      <c r="O6" s="3"/>
      <c r="P6" s="5" t="s">
        <v>79</v>
      </c>
      <c r="R6" s="5" t="s">
        <v>79</v>
      </c>
    </row>
    <row r="7" spans="1:18" ht="16" x14ac:dyDescent="0.2">
      <c r="A7" s="4"/>
    </row>
    <row r="8" spans="1:18" ht="14.5" customHeight="1" x14ac:dyDescent="0.2">
      <c r="A8" s="52" t="s">
        <v>10</v>
      </c>
      <c r="B8" s="2" t="s">
        <v>11</v>
      </c>
      <c r="D8" s="18">
        <v>1321</v>
      </c>
      <c r="E8" s="19"/>
      <c r="F8" s="18">
        <v>5460</v>
      </c>
      <c r="G8" s="19"/>
      <c r="H8" s="18">
        <v>1378</v>
      </c>
      <c r="J8" s="21"/>
      <c r="K8" s="20"/>
      <c r="L8" s="18">
        <v>1146</v>
      </c>
      <c r="M8" s="19"/>
      <c r="N8" s="21">
        <v>6873</v>
      </c>
      <c r="O8" s="19"/>
      <c r="P8" s="21">
        <v>1360</v>
      </c>
      <c r="R8" s="21"/>
    </row>
    <row r="9" spans="1:18" ht="14.5" customHeight="1" x14ac:dyDescent="0.2">
      <c r="A9" s="53"/>
      <c r="B9" s="2" t="s">
        <v>22</v>
      </c>
      <c r="D9" s="18">
        <v>3349</v>
      </c>
      <c r="E9" s="19"/>
      <c r="F9" s="18">
        <v>2459</v>
      </c>
      <c r="G9" s="19"/>
      <c r="H9" s="18">
        <v>721</v>
      </c>
      <c r="J9" s="21"/>
      <c r="K9" s="20"/>
      <c r="L9" s="21">
        <v>5441</v>
      </c>
      <c r="M9" s="19"/>
      <c r="N9" s="21">
        <v>2148</v>
      </c>
      <c r="O9" s="19"/>
      <c r="P9" s="21">
        <v>716</v>
      </c>
      <c r="R9" s="21"/>
    </row>
    <row r="10" spans="1:18" ht="15" customHeight="1" x14ac:dyDescent="0.2">
      <c r="A10" s="53"/>
      <c r="B10" s="2" t="s">
        <v>27</v>
      </c>
      <c r="D10" s="18">
        <v>3626</v>
      </c>
      <c r="E10" s="19"/>
      <c r="F10" s="18">
        <v>1297</v>
      </c>
      <c r="G10" s="19"/>
      <c r="H10" s="18">
        <v>739</v>
      </c>
      <c r="J10" s="21"/>
      <c r="K10" s="20"/>
      <c r="L10" s="21">
        <v>7589</v>
      </c>
      <c r="M10" s="19"/>
      <c r="N10" s="21">
        <v>788</v>
      </c>
      <c r="O10" s="19"/>
      <c r="P10" s="21">
        <v>719</v>
      </c>
      <c r="R10" s="21"/>
    </row>
    <row r="11" spans="1:18" ht="15" customHeight="1" x14ac:dyDescent="0.2">
      <c r="A11" s="53"/>
      <c r="B11" s="2"/>
      <c r="D11" s="19"/>
      <c r="E11" s="19"/>
      <c r="F11" s="19"/>
      <c r="G11" s="19"/>
      <c r="H11" s="19"/>
      <c r="J11" s="19"/>
      <c r="K11" s="20"/>
      <c r="L11" s="19"/>
      <c r="M11" s="19"/>
      <c r="N11" s="19"/>
      <c r="O11" s="19"/>
      <c r="P11" s="19"/>
      <c r="R11" s="19"/>
    </row>
    <row r="12" spans="1:18" ht="14.5" customHeight="1" x14ac:dyDescent="0.2">
      <c r="A12" s="53"/>
      <c r="B12" s="2" t="s">
        <v>33</v>
      </c>
      <c r="D12" s="18">
        <v>8421</v>
      </c>
      <c r="E12" s="19"/>
      <c r="F12" s="18">
        <v>3119</v>
      </c>
      <c r="G12" s="19"/>
      <c r="H12" s="18">
        <v>1699</v>
      </c>
      <c r="J12" s="21"/>
      <c r="K12" s="20"/>
      <c r="L12" s="21">
        <v>6372</v>
      </c>
      <c r="M12" s="19"/>
      <c r="N12" s="21">
        <v>6157</v>
      </c>
      <c r="O12" s="19"/>
      <c r="P12" s="21">
        <v>1145</v>
      </c>
      <c r="R12" s="21"/>
    </row>
    <row r="13" spans="1:18" ht="14.5" customHeight="1" x14ac:dyDescent="0.2">
      <c r="A13" s="53"/>
      <c r="B13" s="2" t="s">
        <v>42</v>
      </c>
      <c r="D13" s="18">
        <v>9296</v>
      </c>
      <c r="E13" s="19"/>
      <c r="F13" s="18">
        <v>1797</v>
      </c>
      <c r="G13" s="19"/>
      <c r="H13" s="18">
        <v>650</v>
      </c>
      <c r="J13" s="21"/>
      <c r="K13" s="20"/>
      <c r="L13" s="18">
        <v>10452</v>
      </c>
      <c r="M13" s="19"/>
      <c r="N13" s="21">
        <v>2148</v>
      </c>
      <c r="O13" s="19"/>
      <c r="P13" s="21">
        <v>716</v>
      </c>
      <c r="R13" s="21"/>
    </row>
    <row r="14" spans="1:18" ht="15" customHeight="1" x14ac:dyDescent="0.2">
      <c r="A14" s="53"/>
      <c r="B14" s="2" t="s">
        <v>48</v>
      </c>
      <c r="D14" s="18">
        <v>6764</v>
      </c>
      <c r="E14" s="19"/>
      <c r="F14" s="18">
        <v>1731</v>
      </c>
      <c r="G14" s="19"/>
      <c r="H14" s="18">
        <v>653</v>
      </c>
      <c r="J14" s="21"/>
      <c r="K14" s="20"/>
      <c r="L14" s="21">
        <v>4797</v>
      </c>
      <c r="M14" s="19"/>
      <c r="N14" s="21">
        <v>1575</v>
      </c>
      <c r="O14" s="19"/>
      <c r="P14" s="21">
        <v>717</v>
      </c>
      <c r="R14" s="21"/>
    </row>
    <row r="15" spans="1:18" ht="15" customHeight="1" x14ac:dyDescent="0.2">
      <c r="A15" s="53"/>
      <c r="D15" s="19"/>
      <c r="E15" s="19"/>
      <c r="F15" s="19"/>
      <c r="G15" s="19"/>
      <c r="H15" s="19"/>
      <c r="J15" s="24"/>
      <c r="K15" s="20"/>
      <c r="L15" s="24"/>
      <c r="M15" s="19"/>
      <c r="N15" s="24"/>
      <c r="O15" s="19"/>
      <c r="P15" s="24"/>
      <c r="R15" s="24"/>
    </row>
    <row r="16" spans="1:18" ht="15" customHeight="1" x14ac:dyDescent="0.2">
      <c r="A16" s="53"/>
      <c r="B16" s="12" t="s">
        <v>80</v>
      </c>
      <c r="D16" s="25">
        <f>AVERAGE(D8:D14)/86400</f>
        <v>6.3227237654320978E-2</v>
      </c>
      <c r="E16" s="26"/>
      <c r="F16" s="25">
        <f t="shared" ref="F16:P16" si="0">AVERAGE(F8:F14)/86400</f>
        <v>3.0599922839506175E-2</v>
      </c>
      <c r="G16" s="26"/>
      <c r="H16" s="25">
        <f t="shared" si="0"/>
        <v>1.1265432098765432E-2</v>
      </c>
      <c r="J16" s="25" t="e">
        <f t="shared" ref="J16" si="1">AVERAGE(J8:J14)/86400</f>
        <v>#DIV/0!</v>
      </c>
      <c r="K16" s="20"/>
      <c r="L16" s="25">
        <f t="shared" si="0"/>
        <v>6.905285493827161E-2</v>
      </c>
      <c r="M16" s="26"/>
      <c r="N16" s="25">
        <f t="shared" si="0"/>
        <v>3.7980324074074076E-2</v>
      </c>
      <c r="O16" s="26"/>
      <c r="P16" s="25">
        <f t="shared" si="0"/>
        <v>1.0364583333333333E-2</v>
      </c>
      <c r="R16" s="25" t="e">
        <f t="shared" ref="R16" si="2">AVERAGE(R8:R14)/86400</f>
        <v>#DIV/0!</v>
      </c>
    </row>
    <row r="17" spans="1:18" ht="15" customHeight="1" x14ac:dyDescent="0.2">
      <c r="A17" s="53"/>
      <c r="B17" s="12" t="s">
        <v>81</v>
      </c>
      <c r="D17" s="25">
        <f>MIN(D8:D14)/86400</f>
        <v>1.5289351851851853E-2</v>
      </c>
      <c r="E17" s="26"/>
      <c r="F17" s="25">
        <f t="shared" ref="F17:P17" si="3">MIN(F8:F14)/86400</f>
        <v>1.5011574074074075E-2</v>
      </c>
      <c r="G17" s="26"/>
      <c r="H17" s="25">
        <f t="shared" si="3"/>
        <v>7.5231481481481477E-3</v>
      </c>
      <c r="J17" s="25">
        <f t="shared" ref="J17" si="4">MIN(J8:J14)/86400</f>
        <v>0</v>
      </c>
      <c r="K17" s="20"/>
      <c r="L17" s="25">
        <f t="shared" si="3"/>
        <v>1.3263888888888889E-2</v>
      </c>
      <c r="M17" s="26"/>
      <c r="N17" s="25">
        <f t="shared" si="3"/>
        <v>9.1203703703703707E-3</v>
      </c>
      <c r="O17" s="26"/>
      <c r="P17" s="25">
        <f t="shared" si="3"/>
        <v>8.2870370370370372E-3</v>
      </c>
      <c r="R17" s="25">
        <f t="shared" ref="R17" si="5">MIN(R8:R14)/86400</f>
        <v>0</v>
      </c>
    </row>
    <row r="18" spans="1:18" ht="15" customHeight="1" x14ac:dyDescent="0.2">
      <c r="A18" s="53"/>
      <c r="B18" s="12" t="s">
        <v>82</v>
      </c>
      <c r="D18" s="25">
        <f>MAX(D8:D14)/86400</f>
        <v>0.10759259259259259</v>
      </c>
      <c r="E18" s="26"/>
      <c r="F18" s="25">
        <f t="shared" ref="F18:P18" si="6">MAX(F8:F14)/86400</f>
        <v>6.3194444444444442E-2</v>
      </c>
      <c r="G18" s="26"/>
      <c r="H18" s="25">
        <f t="shared" si="6"/>
        <v>1.9664351851851853E-2</v>
      </c>
      <c r="I18" s="10"/>
      <c r="J18" s="25">
        <f t="shared" ref="J18" si="7">MAX(J8:J14)/86400</f>
        <v>0</v>
      </c>
      <c r="K18" s="20"/>
      <c r="L18" s="25">
        <f t="shared" si="6"/>
        <v>0.12097222222222222</v>
      </c>
      <c r="M18" s="26"/>
      <c r="N18" s="25">
        <f t="shared" si="6"/>
        <v>7.9548611111111112E-2</v>
      </c>
      <c r="O18" s="26"/>
      <c r="P18" s="25">
        <f t="shared" si="6"/>
        <v>1.5740740740740739E-2</v>
      </c>
      <c r="Q18" s="10"/>
      <c r="R18" s="25">
        <f t="shared" ref="R18" si="8">MAX(R8:R14)/86400</f>
        <v>0</v>
      </c>
    </row>
    <row r="19" spans="1:18" ht="15" customHeight="1" x14ac:dyDescent="0.2">
      <c r="A19" s="53"/>
      <c r="B19" s="12" t="s">
        <v>83</v>
      </c>
      <c r="D19" s="25">
        <f>STDEV(D8:D14)/86400</f>
        <v>3.6649441375074129E-2</v>
      </c>
      <c r="E19" s="26"/>
      <c r="F19" s="25">
        <f t="shared" ref="F19:P19" si="9">STDEV(F8:F14)/86400</f>
        <v>1.7594947479858736E-2</v>
      </c>
      <c r="G19" s="26"/>
      <c r="H19" s="25">
        <f t="shared" si="9"/>
        <v>5.2175569904686506E-3</v>
      </c>
      <c r="J19" s="25" t="e">
        <f t="shared" ref="J19" si="10">STDEV(J8:J14)/86400</f>
        <v>#DIV/0!</v>
      </c>
      <c r="K19" s="20"/>
      <c r="L19" s="25">
        <f t="shared" si="9"/>
        <v>3.5785325153604032E-2</v>
      </c>
      <c r="M19" s="26"/>
      <c r="N19" s="25">
        <f t="shared" si="9"/>
        <v>2.9674220235764433E-2</v>
      </c>
      <c r="O19" s="26"/>
      <c r="P19" s="25">
        <f t="shared" si="9"/>
        <v>3.2959317415711177E-3</v>
      </c>
      <c r="R19" s="25" t="e">
        <f t="shared" ref="R19" si="11">STDEV(R8:R14)/86400</f>
        <v>#DIV/0!</v>
      </c>
    </row>
    <row r="20" spans="1:18" ht="16" x14ac:dyDescent="0.2">
      <c r="A20" s="4"/>
      <c r="D20" s="19"/>
      <c r="E20" s="19"/>
      <c r="F20" s="19"/>
      <c r="G20" s="19"/>
      <c r="H20" s="19"/>
      <c r="J20" s="19"/>
      <c r="K20" s="20"/>
      <c r="L20" s="19"/>
      <c r="M20" s="19"/>
      <c r="N20" s="19"/>
      <c r="O20" s="19"/>
      <c r="P20" s="19"/>
      <c r="R20" s="19"/>
    </row>
    <row r="21" spans="1:18" ht="16" x14ac:dyDescent="0.2">
      <c r="A21" s="4"/>
      <c r="D21" s="19"/>
      <c r="E21" s="19"/>
      <c r="F21" s="19"/>
      <c r="G21" s="19"/>
      <c r="H21" s="19"/>
      <c r="J21" s="19"/>
      <c r="K21" s="20"/>
      <c r="L21" s="19"/>
      <c r="M21" s="19"/>
      <c r="N21" s="19"/>
      <c r="O21" s="19"/>
      <c r="P21" s="19"/>
      <c r="R21" s="19"/>
    </row>
    <row r="22" spans="1:18" ht="14.5" customHeight="1" x14ac:dyDescent="0.2">
      <c r="A22" s="52" t="s">
        <v>54</v>
      </c>
      <c r="B22" s="2" t="s">
        <v>11</v>
      </c>
      <c r="D22" s="22" t="s">
        <v>84</v>
      </c>
      <c r="E22" s="19"/>
      <c r="F22" s="18">
        <v>9986</v>
      </c>
      <c r="G22" s="19"/>
      <c r="H22" s="18">
        <v>1986</v>
      </c>
      <c r="J22" s="23">
        <v>862</v>
      </c>
      <c r="K22" s="20"/>
      <c r="L22" s="22" t="s">
        <v>84</v>
      </c>
      <c r="M22" s="19"/>
      <c r="N22" s="23">
        <v>29782</v>
      </c>
      <c r="O22" s="19"/>
      <c r="P22" s="23">
        <v>5799</v>
      </c>
      <c r="R22" s="23">
        <v>661</v>
      </c>
    </row>
    <row r="23" spans="1:18" ht="15" customHeight="1" x14ac:dyDescent="0.2">
      <c r="A23" s="53"/>
      <c r="B23" s="2" t="s">
        <v>22</v>
      </c>
      <c r="D23" s="22" t="s">
        <v>84</v>
      </c>
      <c r="E23" s="19"/>
      <c r="F23" s="18">
        <v>13050</v>
      </c>
      <c r="G23" s="19"/>
      <c r="H23" s="18">
        <v>2340</v>
      </c>
      <c r="J23" s="21">
        <v>510</v>
      </c>
      <c r="K23" s="20"/>
      <c r="L23" s="22" t="s">
        <v>84</v>
      </c>
      <c r="M23" s="19"/>
      <c r="N23" s="21">
        <v>24197</v>
      </c>
      <c r="O23" s="19"/>
      <c r="P23" s="21">
        <v>3078</v>
      </c>
      <c r="R23" s="21">
        <v>509</v>
      </c>
    </row>
    <row r="24" spans="1:18" ht="15" customHeight="1" x14ac:dyDescent="0.2">
      <c r="A24" s="53"/>
      <c r="B24" s="2" t="s">
        <v>27</v>
      </c>
      <c r="D24" s="22" t="s">
        <v>84</v>
      </c>
      <c r="E24" s="19"/>
      <c r="F24" s="18">
        <v>2450</v>
      </c>
      <c r="G24" s="19"/>
      <c r="H24" s="18">
        <v>1517</v>
      </c>
      <c r="J24" s="21">
        <v>522</v>
      </c>
      <c r="K24" s="20"/>
      <c r="L24" s="22" t="s">
        <v>84</v>
      </c>
      <c r="M24" s="19"/>
      <c r="N24" s="21">
        <v>1360</v>
      </c>
      <c r="O24" s="19"/>
      <c r="P24" s="21">
        <v>1503</v>
      </c>
      <c r="R24" s="21">
        <v>509</v>
      </c>
    </row>
    <row r="25" spans="1:18" ht="14.5" customHeight="1" x14ac:dyDescent="0.2">
      <c r="A25" s="53"/>
      <c r="B25" s="2"/>
      <c r="D25" s="19"/>
      <c r="E25" s="19"/>
      <c r="F25" s="19"/>
      <c r="G25" s="19"/>
      <c r="H25" s="19"/>
      <c r="J25" s="19"/>
      <c r="K25" s="20"/>
      <c r="L25" s="19"/>
      <c r="M25" s="19"/>
      <c r="N25" s="19"/>
      <c r="O25" s="19"/>
      <c r="P25" s="19"/>
      <c r="R25" s="19"/>
    </row>
    <row r="26" spans="1:18" ht="14.5" customHeight="1" x14ac:dyDescent="0.2">
      <c r="A26" s="53"/>
      <c r="B26" s="2" t="s">
        <v>33</v>
      </c>
      <c r="D26" s="22" t="s">
        <v>84</v>
      </c>
      <c r="E26" s="19"/>
      <c r="F26" s="18">
        <v>2875</v>
      </c>
      <c r="G26" s="19"/>
      <c r="H26" s="18">
        <v>4748</v>
      </c>
      <c r="J26" s="18">
        <v>713</v>
      </c>
      <c r="K26" s="20"/>
      <c r="L26" s="22" t="s">
        <v>84</v>
      </c>
      <c r="M26" s="19"/>
      <c r="N26" s="21">
        <v>2076</v>
      </c>
      <c r="O26" s="19"/>
      <c r="P26" s="18">
        <v>5226</v>
      </c>
      <c r="R26" s="18">
        <v>554</v>
      </c>
    </row>
    <row r="27" spans="1:18" ht="15" customHeight="1" x14ac:dyDescent="0.2">
      <c r="A27" s="53"/>
      <c r="B27" s="2" t="s">
        <v>42</v>
      </c>
      <c r="D27" s="22" t="s">
        <v>84</v>
      </c>
      <c r="E27" s="19"/>
      <c r="F27" s="18">
        <v>4124</v>
      </c>
      <c r="G27" s="19"/>
      <c r="H27" s="18">
        <v>1372</v>
      </c>
      <c r="J27" s="18">
        <v>513</v>
      </c>
      <c r="K27" s="20"/>
      <c r="L27" s="22" t="s">
        <v>84</v>
      </c>
      <c r="M27" s="19"/>
      <c r="N27" s="21">
        <v>1718</v>
      </c>
      <c r="O27" s="19"/>
      <c r="P27" s="18">
        <v>1145</v>
      </c>
      <c r="R27" s="18">
        <v>508</v>
      </c>
    </row>
    <row r="28" spans="1:18" ht="15" customHeight="1" x14ac:dyDescent="0.2">
      <c r="A28" s="53"/>
      <c r="B28" s="2" t="s">
        <v>48</v>
      </c>
      <c r="D28" s="22" t="s">
        <v>84</v>
      </c>
      <c r="E28" s="19"/>
      <c r="F28" s="21">
        <v>1742</v>
      </c>
      <c r="G28" s="19"/>
      <c r="H28" s="18">
        <v>815</v>
      </c>
      <c r="J28" s="18">
        <v>510</v>
      </c>
      <c r="K28" s="20"/>
      <c r="L28" s="22" t="s">
        <v>84</v>
      </c>
      <c r="M28" s="19"/>
      <c r="N28" s="21">
        <v>1933</v>
      </c>
      <c r="O28" s="19"/>
      <c r="P28" s="18">
        <v>716</v>
      </c>
      <c r="R28" s="18">
        <v>520</v>
      </c>
    </row>
    <row r="29" spans="1:18" x14ac:dyDescent="0.2">
      <c r="A29" s="53"/>
    </row>
    <row r="30" spans="1:18" x14ac:dyDescent="0.2">
      <c r="A30" s="53"/>
      <c r="B30" s="12" t="s">
        <v>80</v>
      </c>
      <c r="D30" s="25" t="e">
        <f>AVERAGE(D22:D28)/86400</f>
        <v>#DIV/0!</v>
      </c>
      <c r="E30" s="26"/>
      <c r="F30" s="25">
        <f t="shared" ref="F30" si="12">AVERAGE(F22:F28)/86400</f>
        <v>6.6024305555555551E-2</v>
      </c>
      <c r="G30" s="26"/>
      <c r="H30" s="25">
        <f t="shared" ref="H30" si="13">AVERAGE(H22:H28)/86400</f>
        <v>2.4648919753086418E-2</v>
      </c>
      <c r="I30" s="26"/>
      <c r="J30" s="25">
        <f t="shared" ref="J30" si="14">AVERAGE(J22:J28)/86400</f>
        <v>7.0023148148148145E-3</v>
      </c>
      <c r="K30" s="20"/>
      <c r="L30" s="25" t="e">
        <f t="shared" ref="L30" si="15">AVERAGE(L22:L28)/86400</f>
        <v>#DIV/0!</v>
      </c>
      <c r="M30" s="26"/>
      <c r="N30" s="25">
        <f t="shared" ref="N30" si="16">AVERAGE(N22:N28)/86400</f>
        <v>0.11779706790123456</v>
      </c>
      <c r="O30" s="26"/>
      <c r="P30" s="25">
        <f t="shared" ref="P30:R30" si="17">AVERAGE(P22:P28)/86400</f>
        <v>3.3694058641975305E-2</v>
      </c>
      <c r="Q30" s="26"/>
      <c r="R30" s="25">
        <f t="shared" si="17"/>
        <v>6.2905092592592596E-3</v>
      </c>
    </row>
    <row r="31" spans="1:18" x14ac:dyDescent="0.2">
      <c r="A31" s="53"/>
      <c r="B31" s="12" t="s">
        <v>81</v>
      </c>
      <c r="D31" s="25">
        <f>MIN(D22:D28)/86400</f>
        <v>0</v>
      </c>
      <c r="E31" s="26"/>
      <c r="F31" s="25">
        <f t="shared" ref="F31" si="18">MIN(F22:F28)/86400</f>
        <v>2.0162037037037037E-2</v>
      </c>
      <c r="G31" s="26"/>
      <c r="H31" s="25">
        <f t="shared" ref="H31" si="19">MIN(H22:H28)/86400</f>
        <v>9.432870370370371E-3</v>
      </c>
      <c r="I31" s="26"/>
      <c r="J31" s="25">
        <f t="shared" ref="J31" si="20">MIN(J22:J28)/86400</f>
        <v>5.9027777777777776E-3</v>
      </c>
      <c r="K31" s="20"/>
      <c r="L31" s="25">
        <f t="shared" ref="L31" si="21">MIN(L22:L28)/86400</f>
        <v>0</v>
      </c>
      <c r="M31" s="26"/>
      <c r="N31" s="25">
        <f t="shared" ref="N31" si="22">MIN(N22:N28)/86400</f>
        <v>1.5740740740740739E-2</v>
      </c>
      <c r="O31" s="26"/>
      <c r="P31" s="25">
        <f t="shared" ref="P31:R31" si="23">MIN(P22:P28)/86400</f>
        <v>8.2870370370370372E-3</v>
      </c>
      <c r="Q31" s="26"/>
      <c r="R31" s="25">
        <f t="shared" si="23"/>
        <v>5.8796296296296296E-3</v>
      </c>
    </row>
    <row r="32" spans="1:18" x14ac:dyDescent="0.2">
      <c r="A32" s="53"/>
      <c r="B32" s="12" t="s">
        <v>82</v>
      </c>
      <c r="D32" s="25">
        <f>MAX(D22:D28)/86400</f>
        <v>0</v>
      </c>
      <c r="E32" s="26"/>
      <c r="F32" s="25">
        <f t="shared" ref="F32" si="24">MAX(F22:F28)/86400</f>
        <v>0.15104166666666666</v>
      </c>
      <c r="G32" s="26"/>
      <c r="H32" s="25">
        <f t="shared" ref="H32" si="25">MAX(H22:H28)/86400</f>
        <v>5.4953703703703706E-2</v>
      </c>
      <c r="I32" s="26"/>
      <c r="J32" s="25">
        <f t="shared" ref="J32" si="26">MAX(J22:J28)/86400</f>
        <v>9.9768518518518513E-3</v>
      </c>
      <c r="K32" s="20"/>
      <c r="L32" s="25">
        <f t="shared" ref="L32" si="27">MAX(L22:L28)/86400</f>
        <v>0</v>
      </c>
      <c r="M32" s="26"/>
      <c r="N32" s="25">
        <f t="shared" ref="N32" si="28">MAX(N22:N28)/86400</f>
        <v>0.34469907407407407</v>
      </c>
      <c r="O32" s="26"/>
      <c r="P32" s="25">
        <f t="shared" ref="P32:R32" si="29">MAX(P22:P28)/86400</f>
        <v>6.7118055555555556E-2</v>
      </c>
      <c r="Q32" s="26"/>
      <c r="R32" s="25">
        <f t="shared" si="29"/>
        <v>7.6504629629629631E-3</v>
      </c>
    </row>
    <row r="33" spans="1:18" x14ac:dyDescent="0.2">
      <c r="A33" s="53"/>
      <c r="B33" s="12" t="s">
        <v>83</v>
      </c>
      <c r="D33" s="25" t="e">
        <f>STDEV(D22:D28)/86400</f>
        <v>#DIV/0!</v>
      </c>
      <c r="E33" s="26"/>
      <c r="F33" s="25">
        <f t="shared" ref="F33" si="30">STDEV(F22:F28)/86400</f>
        <v>5.4060922696568502E-2</v>
      </c>
      <c r="G33" s="26"/>
      <c r="H33" s="25">
        <f t="shared" ref="H33" si="31">STDEV(H22:H28)/86400</f>
        <v>1.6036101906559692E-2</v>
      </c>
      <c r="I33" s="26"/>
      <c r="J33" s="25">
        <f t="shared" ref="J33" si="32">STDEV(J22:J28)/86400</f>
        <v>1.7253990512763721E-3</v>
      </c>
      <c r="K33" s="20"/>
      <c r="L33" s="25" t="e">
        <f t="shared" ref="L33" si="33">STDEV(L22:L28)/86400</f>
        <v>#DIV/0!</v>
      </c>
      <c r="M33" s="26"/>
      <c r="N33" s="25">
        <f t="shared" ref="N33" si="34">STDEV(N22:N28)/86400</f>
        <v>0.15212757345059646</v>
      </c>
      <c r="O33" s="26"/>
      <c r="P33" s="25">
        <f t="shared" ref="P33:R33" si="35">STDEV(P22:P28)/86400</f>
        <v>2.5170299821243251E-2</v>
      </c>
      <c r="Q33" s="26"/>
      <c r="R33" s="25">
        <f t="shared" si="35"/>
        <v>6.9655351028867355E-4</v>
      </c>
    </row>
  </sheetData>
  <mergeCells count="12">
    <mergeCell ref="R3:R4"/>
    <mergeCell ref="L1:R2"/>
    <mergeCell ref="J3:J4"/>
    <mergeCell ref="D1:J2"/>
    <mergeCell ref="A8:A19"/>
    <mergeCell ref="A22:A33"/>
    <mergeCell ref="D3:D4"/>
    <mergeCell ref="F3:F4"/>
    <mergeCell ref="H3:H4"/>
    <mergeCell ref="L3:L4"/>
    <mergeCell ref="N3:N4"/>
    <mergeCell ref="P3:P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C7457-1CE9-274B-9C5C-A6A35A70BB57}">
  <dimension ref="A1:AO141"/>
  <sheetViews>
    <sheetView topLeftCell="A96" workbookViewId="0">
      <selection activeCell="J134" sqref="J125:J134"/>
    </sheetView>
  </sheetViews>
  <sheetFormatPr baseColWidth="10" defaultRowHeight="15" x14ac:dyDescent="0.2"/>
  <cols>
    <col min="1" max="1" width="8.1640625" style="1" bestFit="1" customWidth="1"/>
    <col min="2" max="2" width="13.83203125" bestFit="1" customWidth="1"/>
    <col min="3" max="3" width="4.1640625" bestFit="1" customWidth="1"/>
    <col min="4" max="4" width="25" style="31" bestFit="1" customWidth="1"/>
    <col min="5" max="5" width="1" customWidth="1"/>
    <col min="6" max="6" width="8.83203125"/>
    <col min="7" max="7" width="1" customWidth="1"/>
    <col min="8" max="8" width="8.83203125"/>
    <col min="9" max="9" width="1.1640625" customWidth="1"/>
    <col min="12" max="12" width="18" bestFit="1" customWidth="1"/>
    <col min="13" max="13" width="1.1640625" customWidth="1"/>
    <col min="15" max="15" width="1.1640625" customWidth="1"/>
    <col min="17" max="17" width="1.1640625" customWidth="1"/>
    <col min="23" max="23" width="12.83203125" bestFit="1" customWidth="1"/>
    <col min="24" max="26" width="10.83203125" style="10"/>
  </cols>
  <sheetData>
    <row r="1" spans="1:26" ht="26" customHeight="1" x14ac:dyDescent="0.2">
      <c r="A1" s="27"/>
      <c r="D1" s="64" t="s">
        <v>0</v>
      </c>
      <c r="E1" s="65"/>
      <c r="F1" s="65"/>
      <c r="G1" s="65"/>
      <c r="H1" s="65"/>
      <c r="I1" s="65"/>
      <c r="J1" s="65"/>
      <c r="L1" s="64" t="s">
        <v>1</v>
      </c>
      <c r="M1" s="65"/>
      <c r="N1" s="65"/>
      <c r="O1" s="65"/>
      <c r="P1" s="65"/>
      <c r="Q1" s="65"/>
      <c r="R1" s="65"/>
    </row>
    <row r="2" spans="1:26" ht="26" customHeight="1" x14ac:dyDescent="0.2">
      <c r="D2" s="64"/>
      <c r="E2" s="65"/>
      <c r="F2" s="65"/>
      <c r="G2" s="65"/>
      <c r="H2" s="65"/>
      <c r="I2" s="65"/>
      <c r="J2" s="65"/>
      <c r="L2" s="64"/>
      <c r="M2" s="65"/>
      <c r="N2" s="65"/>
      <c r="O2" s="65"/>
      <c r="P2" s="65"/>
      <c r="Q2" s="65"/>
      <c r="R2" s="65"/>
    </row>
    <row r="3" spans="1:26" ht="16" x14ac:dyDescent="0.2">
      <c r="D3" s="49" t="s">
        <v>2</v>
      </c>
      <c r="E3" s="3"/>
      <c r="F3" s="45" t="s">
        <v>3</v>
      </c>
      <c r="G3" s="3"/>
      <c r="H3" s="45" t="s">
        <v>4</v>
      </c>
      <c r="I3" s="63"/>
      <c r="J3" s="45" t="s">
        <v>111</v>
      </c>
      <c r="L3" s="45" t="s">
        <v>2</v>
      </c>
      <c r="M3" s="3"/>
      <c r="N3" s="45" t="s">
        <v>3</v>
      </c>
      <c r="O3" s="3"/>
      <c r="P3" s="45" t="s">
        <v>4</v>
      </c>
      <c r="Q3" s="63"/>
      <c r="R3" s="45" t="s">
        <v>111</v>
      </c>
    </row>
    <row r="4" spans="1:26" ht="16" x14ac:dyDescent="0.2">
      <c r="D4" s="49"/>
      <c r="E4" s="3"/>
      <c r="F4" s="45"/>
      <c r="G4" s="3"/>
      <c r="H4" s="45"/>
      <c r="I4" s="63"/>
      <c r="J4" s="45"/>
      <c r="L4" s="45"/>
      <c r="M4" s="3"/>
      <c r="N4" s="45"/>
      <c r="O4" s="3"/>
      <c r="P4" s="45"/>
      <c r="Q4" s="63"/>
      <c r="R4" s="45"/>
    </row>
    <row r="5" spans="1:26" ht="16" x14ac:dyDescent="0.2">
      <c r="D5" s="30"/>
      <c r="E5" s="3"/>
      <c r="F5" s="4"/>
      <c r="G5" s="3"/>
      <c r="H5" s="4"/>
      <c r="I5" s="4"/>
      <c r="J5" s="4"/>
      <c r="L5" s="4"/>
      <c r="M5" s="3"/>
      <c r="N5" s="4"/>
      <c r="O5" s="3"/>
      <c r="P5" s="4"/>
      <c r="Q5" s="4"/>
      <c r="R5" s="4"/>
    </row>
    <row r="6" spans="1:26" ht="16" x14ac:dyDescent="0.2">
      <c r="A6" s="5" t="s">
        <v>5</v>
      </c>
      <c r="B6" s="5" t="s">
        <v>6</v>
      </c>
      <c r="C6" s="5" t="s">
        <v>85</v>
      </c>
      <c r="D6" s="29" t="s">
        <v>79</v>
      </c>
      <c r="E6" s="3"/>
      <c r="F6" s="5" t="s">
        <v>79</v>
      </c>
      <c r="G6" s="3"/>
      <c r="H6" s="5" t="s">
        <v>79</v>
      </c>
      <c r="I6" s="63"/>
      <c r="J6" s="5" t="s">
        <v>79</v>
      </c>
      <c r="L6" s="5" t="s">
        <v>79</v>
      </c>
      <c r="M6" s="3"/>
      <c r="N6" s="5" t="s">
        <v>79</v>
      </c>
      <c r="O6" s="3"/>
      <c r="P6" s="5" t="s">
        <v>79</v>
      </c>
      <c r="Q6" s="63"/>
      <c r="R6" s="5" t="s">
        <v>79</v>
      </c>
    </row>
    <row r="7" spans="1:26" ht="17" customHeight="1" x14ac:dyDescent="0.2">
      <c r="A7" s="52" t="s">
        <v>10</v>
      </c>
      <c r="B7" s="46" t="s">
        <v>11</v>
      </c>
      <c r="C7">
        <v>1</v>
      </c>
      <c r="D7" s="33">
        <v>156.1492193</v>
      </c>
      <c r="E7" s="3"/>
      <c r="F7" s="33">
        <v>70.940596999999997</v>
      </c>
      <c r="G7" s="35"/>
      <c r="H7" s="33">
        <v>86.371557100000004</v>
      </c>
      <c r="I7" s="33"/>
      <c r="J7" s="33"/>
      <c r="L7">
        <v>77.830788299999995</v>
      </c>
      <c r="N7">
        <v>601.26380110000002</v>
      </c>
      <c r="P7" s="36">
        <v>81.728998700000005</v>
      </c>
      <c r="Q7" s="36"/>
      <c r="R7" s="33"/>
    </row>
    <row r="8" spans="1:26" ht="16" x14ac:dyDescent="0.2">
      <c r="A8" s="53"/>
      <c r="B8" s="47"/>
      <c r="C8">
        <v>2</v>
      </c>
      <c r="D8" s="33">
        <v>72.130027999999996</v>
      </c>
      <c r="E8" s="3"/>
      <c r="F8" s="33">
        <v>466.53244319999999</v>
      </c>
      <c r="G8" s="35"/>
      <c r="H8" s="33">
        <v>80.167861900000005</v>
      </c>
      <c r="I8" s="33"/>
      <c r="J8" s="33"/>
      <c r="L8">
        <v>69.680095600000001</v>
      </c>
      <c r="N8">
        <v>158.07883570000001</v>
      </c>
      <c r="P8">
        <v>84.766424000000001</v>
      </c>
    </row>
    <row r="9" spans="1:26" ht="16" x14ac:dyDescent="0.2">
      <c r="A9" s="53"/>
      <c r="B9" s="47"/>
      <c r="C9">
        <v>3</v>
      </c>
      <c r="D9" s="33">
        <v>292.28385400000002</v>
      </c>
      <c r="E9" s="3"/>
      <c r="F9" s="33">
        <v>533.23897520000003</v>
      </c>
      <c r="G9" s="35"/>
      <c r="H9" s="33">
        <v>77.724527300000005</v>
      </c>
      <c r="I9" s="33"/>
      <c r="J9" s="33"/>
      <c r="L9">
        <v>72.386975800000002</v>
      </c>
      <c r="N9">
        <v>247.77741470000001</v>
      </c>
      <c r="P9">
        <v>157.49419499999999</v>
      </c>
      <c r="W9" s="51" t="s">
        <v>89</v>
      </c>
      <c r="X9" s="51"/>
      <c r="Y9" s="51"/>
      <c r="Z9" s="51"/>
    </row>
    <row r="10" spans="1:26" ht="16" x14ac:dyDescent="0.2">
      <c r="A10" s="53"/>
      <c r="B10" s="47"/>
      <c r="C10">
        <v>4</v>
      </c>
      <c r="D10" s="33">
        <v>72.509466900000007</v>
      </c>
      <c r="E10" s="3"/>
      <c r="F10" s="33">
        <v>733.73228779999999</v>
      </c>
      <c r="G10" s="35"/>
      <c r="H10" s="33">
        <v>230.29127550000001</v>
      </c>
      <c r="I10" s="33"/>
      <c r="J10" s="33"/>
      <c r="L10">
        <v>216.59442749999999</v>
      </c>
      <c r="N10">
        <v>86.154680900000002</v>
      </c>
      <c r="P10">
        <v>78.742313800000005</v>
      </c>
      <c r="X10" s="38"/>
      <c r="Y10" s="38"/>
      <c r="Z10" s="38" t="s">
        <v>90</v>
      </c>
    </row>
    <row r="11" spans="1:26" ht="16" x14ac:dyDescent="0.2">
      <c r="A11" s="53"/>
      <c r="B11" s="47"/>
      <c r="C11">
        <v>5</v>
      </c>
      <c r="D11" s="33">
        <v>145.94537679999999</v>
      </c>
      <c r="E11" s="3"/>
      <c r="F11" s="33">
        <v>333.57456960000002</v>
      </c>
      <c r="G11" s="35"/>
      <c r="H11" s="33">
        <v>299.50239399999998</v>
      </c>
      <c r="I11" s="33"/>
      <c r="J11" s="33"/>
      <c r="L11">
        <v>291.95927260000002</v>
      </c>
      <c r="N11">
        <v>86.823207999999994</v>
      </c>
      <c r="P11">
        <v>153.21892299999999</v>
      </c>
      <c r="W11" s="37" t="s">
        <v>91</v>
      </c>
      <c r="X11" s="10">
        <f>AVERAGE(D38:P67,D7:P36,F74:P103,F105:H134,N105:P134)</f>
        <v>337.29835891227754</v>
      </c>
      <c r="Z11" s="26">
        <f>TIME(,,X11)</f>
        <v>3.9004629629629628E-3</v>
      </c>
    </row>
    <row r="12" spans="1:26" ht="16" x14ac:dyDescent="0.2">
      <c r="A12" s="53"/>
      <c r="B12" s="47"/>
      <c r="C12">
        <v>6</v>
      </c>
      <c r="D12" s="33">
        <v>218.32706959999999</v>
      </c>
      <c r="E12" s="3"/>
      <c r="F12" s="33">
        <v>265.47561999999999</v>
      </c>
      <c r="G12" s="35"/>
      <c r="H12" s="33">
        <v>73.355889099999999</v>
      </c>
      <c r="I12" s="33"/>
      <c r="J12" s="33"/>
      <c r="L12">
        <v>77.210132999999999</v>
      </c>
      <c r="N12">
        <v>2313.245696</v>
      </c>
      <c r="P12">
        <v>155.06151919999999</v>
      </c>
      <c r="W12" s="37" t="s">
        <v>92</v>
      </c>
      <c r="X12" s="10">
        <f>MIN(D38:P67,D7:P36,F74:P103,F105:H134,N105:P134)</f>
        <v>50.330599999999997</v>
      </c>
      <c r="Z12" s="26">
        <f t="shared" ref="Z12:Z14" si="0">TIME(,,X12)</f>
        <v>5.7870370370370367E-4</v>
      </c>
    </row>
    <row r="13" spans="1:26" ht="17" customHeight="1" x14ac:dyDescent="0.2">
      <c r="A13" s="53"/>
      <c r="B13" s="47"/>
      <c r="C13">
        <v>7</v>
      </c>
      <c r="D13" s="33">
        <v>72.044397799999999</v>
      </c>
      <c r="E13" s="3"/>
      <c r="F13" s="33">
        <v>399.28296699999999</v>
      </c>
      <c r="G13" s="35"/>
      <c r="H13" s="33">
        <v>151.47417250000001</v>
      </c>
      <c r="I13" s="33"/>
      <c r="J13" s="33"/>
      <c r="L13">
        <v>73.184496300000006</v>
      </c>
      <c r="N13">
        <v>661.98075889999996</v>
      </c>
      <c r="P13">
        <v>456.90458919999998</v>
      </c>
      <c r="W13" s="37" t="s">
        <v>93</v>
      </c>
      <c r="X13" s="10">
        <f>MAX(D38:P67,D7:P36,F74:P103,F105:H134,N105:P134)</f>
        <v>7218.0189136999998</v>
      </c>
      <c r="Z13" s="26">
        <f t="shared" si="0"/>
        <v>8.3541666666666667E-2</v>
      </c>
    </row>
    <row r="14" spans="1:26" ht="17" customHeight="1" x14ac:dyDescent="0.2">
      <c r="A14" s="53"/>
      <c r="B14" s="47"/>
      <c r="C14">
        <v>8</v>
      </c>
      <c r="D14" s="33">
        <v>145.97269729999999</v>
      </c>
      <c r="E14" s="3"/>
      <c r="F14" s="33">
        <v>932.88624049999999</v>
      </c>
      <c r="G14" s="35"/>
      <c r="H14" s="33">
        <v>76.544575100000003</v>
      </c>
      <c r="I14" s="33"/>
      <c r="J14" s="33"/>
      <c r="L14">
        <v>146.44123880000001</v>
      </c>
      <c r="N14">
        <v>3011.4654556999999</v>
      </c>
      <c r="P14">
        <v>81.961152400000003</v>
      </c>
      <c r="W14" s="37" t="s">
        <v>94</v>
      </c>
      <c r="X14" s="10">
        <f>STDEV(D38:P67,D7:P36,F74:P103,F105:H134,N105:P134)</f>
        <v>525.50420106598369</v>
      </c>
      <c r="Z14" s="26">
        <f t="shared" si="0"/>
        <v>6.076388888888889E-3</v>
      </c>
    </row>
    <row r="15" spans="1:26" ht="17" customHeight="1" x14ac:dyDescent="0.2">
      <c r="A15" s="53"/>
      <c r="B15" s="47"/>
      <c r="C15">
        <v>9</v>
      </c>
      <c r="D15" s="33">
        <v>73.062607299999996</v>
      </c>
      <c r="E15" s="3"/>
      <c r="F15" s="33">
        <v>927.70830220000005</v>
      </c>
      <c r="G15" s="35"/>
      <c r="H15" s="33">
        <v>78.093684600000003</v>
      </c>
      <c r="I15" s="33"/>
      <c r="J15" s="33"/>
      <c r="L15">
        <v>78.716759600000003</v>
      </c>
      <c r="N15">
        <v>355.65836380000002</v>
      </c>
      <c r="P15">
        <v>159.94233370000001</v>
      </c>
    </row>
    <row r="16" spans="1:26" ht="15" customHeight="1" x14ac:dyDescent="0.2">
      <c r="A16" s="53"/>
      <c r="B16" s="48"/>
      <c r="C16">
        <v>10</v>
      </c>
      <c r="D16" s="31">
        <v>72.1371161</v>
      </c>
      <c r="F16" s="31">
        <v>796.54131900000004</v>
      </c>
      <c r="G16" s="31"/>
      <c r="H16" s="31">
        <v>224.6588481</v>
      </c>
      <c r="I16" s="31"/>
      <c r="J16" s="31"/>
      <c r="L16">
        <v>78.939935899999995</v>
      </c>
      <c r="N16">
        <v>141.9226768</v>
      </c>
      <c r="P16">
        <v>77.275726899999995</v>
      </c>
    </row>
    <row r="17" spans="1:16" ht="16" x14ac:dyDescent="0.2">
      <c r="A17" s="53"/>
      <c r="B17" s="46" t="s">
        <v>86</v>
      </c>
      <c r="C17">
        <v>1</v>
      </c>
      <c r="D17" s="33">
        <v>71.434644500000005</v>
      </c>
      <c r="E17" s="3"/>
      <c r="F17" s="33">
        <v>261.8748377</v>
      </c>
      <c r="G17" s="35"/>
      <c r="H17" s="33">
        <v>73.114328499999999</v>
      </c>
      <c r="I17" s="33"/>
      <c r="J17" s="33"/>
      <c r="L17">
        <v>207.18083060000001</v>
      </c>
      <c r="N17">
        <v>75.325193799999994</v>
      </c>
      <c r="P17">
        <v>72.4576469</v>
      </c>
    </row>
    <row r="18" spans="1:16" ht="16" x14ac:dyDescent="0.2">
      <c r="A18" s="53"/>
      <c r="B18" s="47"/>
      <c r="C18">
        <v>2</v>
      </c>
      <c r="D18" s="33">
        <v>386.27944689999998</v>
      </c>
      <c r="E18" s="3"/>
      <c r="F18" s="33">
        <v>211.2892745</v>
      </c>
      <c r="G18" s="35"/>
      <c r="H18" s="33">
        <v>71.188278800000006</v>
      </c>
      <c r="I18" s="33"/>
      <c r="J18" s="33"/>
      <c r="L18">
        <v>65.375731599999995</v>
      </c>
      <c r="N18">
        <v>297.85747670000001</v>
      </c>
      <c r="P18">
        <v>73.037465600000004</v>
      </c>
    </row>
    <row r="19" spans="1:16" ht="16" x14ac:dyDescent="0.2">
      <c r="A19" s="53"/>
      <c r="B19" s="47"/>
      <c r="C19">
        <v>3</v>
      </c>
      <c r="D19" s="33">
        <v>807.04350850000003</v>
      </c>
      <c r="E19" s="3"/>
      <c r="F19" s="33">
        <v>62.332369</v>
      </c>
      <c r="G19" s="35"/>
      <c r="H19" s="33">
        <v>70.401290500000002</v>
      </c>
      <c r="I19" s="33"/>
      <c r="J19" s="33"/>
      <c r="L19">
        <v>586.4684383</v>
      </c>
      <c r="N19">
        <v>234.6544241</v>
      </c>
      <c r="P19">
        <v>75.679750100000007</v>
      </c>
    </row>
    <row r="20" spans="1:16" ht="16" x14ac:dyDescent="0.2">
      <c r="A20" s="53"/>
      <c r="B20" s="47"/>
      <c r="C20">
        <v>4</v>
      </c>
      <c r="D20" s="33">
        <v>89.340788500000002</v>
      </c>
      <c r="E20" s="3"/>
      <c r="F20" s="33">
        <v>248.60364619999999</v>
      </c>
      <c r="G20" s="35"/>
      <c r="H20" s="33">
        <v>80.338869299999999</v>
      </c>
      <c r="I20" s="33"/>
      <c r="J20" s="33"/>
      <c r="L20">
        <v>323.32953090000001</v>
      </c>
      <c r="N20">
        <v>207.73227080000001</v>
      </c>
      <c r="P20">
        <v>69.004712999999995</v>
      </c>
    </row>
    <row r="21" spans="1:16" ht="16" x14ac:dyDescent="0.2">
      <c r="A21" s="53"/>
      <c r="B21" s="47"/>
      <c r="C21">
        <v>5</v>
      </c>
      <c r="D21" s="33">
        <v>228.28671700000001</v>
      </c>
      <c r="E21" s="3"/>
      <c r="F21" s="33">
        <v>555.24803970000005</v>
      </c>
      <c r="G21" s="35"/>
      <c r="H21" s="33">
        <v>74.254665099999997</v>
      </c>
      <c r="I21" s="33"/>
      <c r="J21" s="33"/>
      <c r="L21">
        <v>129.41876830000001</v>
      </c>
      <c r="N21">
        <v>218.40097359999999</v>
      </c>
      <c r="P21">
        <v>64.653414799999993</v>
      </c>
    </row>
    <row r="22" spans="1:16" ht="16" x14ac:dyDescent="0.2">
      <c r="A22" s="53"/>
      <c r="B22" s="47"/>
      <c r="C22">
        <v>6</v>
      </c>
      <c r="D22" s="33">
        <v>74.975925099999998</v>
      </c>
      <c r="E22" s="3"/>
      <c r="F22" s="33">
        <v>370.1499996</v>
      </c>
      <c r="G22" s="35"/>
      <c r="H22" s="33">
        <v>70.6183075</v>
      </c>
      <c r="I22" s="33"/>
      <c r="J22" s="33"/>
      <c r="L22">
        <v>196.73654540000001</v>
      </c>
      <c r="N22">
        <v>238.8835492</v>
      </c>
      <c r="P22">
        <v>64.707670100000001</v>
      </c>
    </row>
    <row r="23" spans="1:16" ht="17" customHeight="1" x14ac:dyDescent="0.2">
      <c r="A23" s="53"/>
      <c r="B23" s="47"/>
      <c r="C23">
        <v>7</v>
      </c>
      <c r="D23" s="33">
        <v>455.12691059999997</v>
      </c>
      <c r="E23" s="3"/>
      <c r="F23" s="33">
        <v>63.103066099999999</v>
      </c>
      <c r="G23" s="35"/>
      <c r="H23" s="33">
        <v>69.177133299999994</v>
      </c>
      <c r="I23" s="33"/>
      <c r="J23" s="33"/>
      <c r="L23">
        <v>129.47770080000001</v>
      </c>
      <c r="N23">
        <v>220.64875190000001</v>
      </c>
      <c r="P23">
        <v>66.928739100000001</v>
      </c>
    </row>
    <row r="24" spans="1:16" ht="17" customHeight="1" x14ac:dyDescent="0.2">
      <c r="A24" s="53"/>
      <c r="B24" s="47"/>
      <c r="C24">
        <v>8</v>
      </c>
      <c r="D24" s="33">
        <v>152.9891087</v>
      </c>
      <c r="E24" s="3"/>
      <c r="F24" s="33">
        <v>64.371978999999996</v>
      </c>
      <c r="G24" s="35"/>
      <c r="H24" s="33">
        <v>70.352484700000005</v>
      </c>
      <c r="I24" s="33"/>
      <c r="J24" s="33"/>
      <c r="L24">
        <v>583.81888790000005</v>
      </c>
      <c r="N24">
        <v>156.702572</v>
      </c>
      <c r="P24">
        <v>85.198224800000006</v>
      </c>
    </row>
    <row r="25" spans="1:16" ht="17" customHeight="1" x14ac:dyDescent="0.2">
      <c r="A25" s="53"/>
      <c r="B25" s="47"/>
      <c r="C25">
        <v>9</v>
      </c>
      <c r="D25" s="33">
        <v>853.18408499999998</v>
      </c>
      <c r="E25" s="3"/>
      <c r="F25" s="33">
        <v>249.7717079</v>
      </c>
      <c r="G25" s="35"/>
      <c r="H25" s="33">
        <v>70.135643900000005</v>
      </c>
      <c r="I25" s="33"/>
      <c r="J25" s="33"/>
      <c r="L25">
        <v>1580.9047197</v>
      </c>
      <c r="N25">
        <v>461.69033109999998</v>
      </c>
      <c r="P25">
        <v>86.575239600000003</v>
      </c>
    </row>
    <row r="26" spans="1:16" ht="16" customHeight="1" x14ac:dyDescent="0.2">
      <c r="A26" s="53"/>
      <c r="B26" s="48"/>
      <c r="C26">
        <v>10</v>
      </c>
      <c r="D26" s="31">
        <v>230.5832111</v>
      </c>
      <c r="F26" s="31">
        <v>372.59909090000002</v>
      </c>
      <c r="G26" s="31"/>
      <c r="H26" s="31">
        <v>70.832701700000001</v>
      </c>
      <c r="I26" s="31"/>
      <c r="J26" s="31"/>
      <c r="L26">
        <v>1218.9549171000001</v>
      </c>
      <c r="N26">
        <v>131.76363090000001</v>
      </c>
      <c r="P26">
        <v>75.496478600000003</v>
      </c>
    </row>
    <row r="27" spans="1:16" ht="16" x14ac:dyDescent="0.2">
      <c r="A27" s="53"/>
      <c r="B27" s="46" t="s">
        <v>27</v>
      </c>
      <c r="C27">
        <v>1</v>
      </c>
      <c r="D27" s="33">
        <v>491.30665800000003</v>
      </c>
      <c r="E27" s="3"/>
      <c r="F27" s="33">
        <v>503.50700949999998</v>
      </c>
      <c r="G27" s="35"/>
      <c r="H27" s="33">
        <v>81.723654499999995</v>
      </c>
      <c r="I27" s="33"/>
      <c r="J27" s="33"/>
      <c r="L27">
        <v>916.28107279999995</v>
      </c>
      <c r="N27">
        <v>135.59849030000001</v>
      </c>
      <c r="P27">
        <v>75.413589000000002</v>
      </c>
    </row>
    <row r="28" spans="1:16" ht="16" x14ac:dyDescent="0.2">
      <c r="A28" s="53"/>
      <c r="B28" s="47"/>
      <c r="C28">
        <v>2</v>
      </c>
      <c r="D28" s="33">
        <v>70.588103500000003</v>
      </c>
      <c r="E28" s="3"/>
      <c r="F28" s="33">
        <v>70.364857400000005</v>
      </c>
      <c r="G28" s="35"/>
      <c r="H28" s="33">
        <v>73.767661000000004</v>
      </c>
      <c r="I28" s="33"/>
      <c r="J28" s="33"/>
      <c r="L28">
        <v>867.80258600000002</v>
      </c>
      <c r="N28">
        <v>66.316842500000007</v>
      </c>
      <c r="P28">
        <v>77.701590100000004</v>
      </c>
    </row>
    <row r="29" spans="1:16" ht="16" x14ac:dyDescent="0.2">
      <c r="A29" s="53"/>
      <c r="B29" s="47"/>
      <c r="C29">
        <v>3</v>
      </c>
      <c r="D29" s="33">
        <v>641.90310680000005</v>
      </c>
      <c r="E29" s="3"/>
      <c r="F29" s="33">
        <v>70.890926699999994</v>
      </c>
      <c r="G29" s="35"/>
      <c r="H29" s="33">
        <v>76.209941599999993</v>
      </c>
      <c r="I29" s="33"/>
      <c r="J29" s="33"/>
      <c r="L29">
        <v>325.8396424</v>
      </c>
      <c r="N29">
        <v>66.043703899999997</v>
      </c>
      <c r="P29">
        <v>78.494008300000004</v>
      </c>
    </row>
    <row r="30" spans="1:16" ht="16" x14ac:dyDescent="0.2">
      <c r="A30" s="53"/>
      <c r="B30" s="47"/>
      <c r="C30">
        <v>4</v>
      </c>
      <c r="D30" s="33">
        <v>843.39485209999998</v>
      </c>
      <c r="E30" s="3"/>
      <c r="F30" s="33">
        <v>72.770739800000001</v>
      </c>
      <c r="G30" s="35"/>
      <c r="H30" s="33">
        <v>72.462500500000004</v>
      </c>
      <c r="I30" s="33"/>
      <c r="J30" s="33"/>
      <c r="L30">
        <v>192.90137920000001</v>
      </c>
      <c r="N30">
        <v>66.748610299999996</v>
      </c>
      <c r="P30">
        <v>73.773346900000007</v>
      </c>
    </row>
    <row r="31" spans="1:16" ht="16" x14ac:dyDescent="0.2">
      <c r="A31" s="53"/>
      <c r="B31" s="47"/>
      <c r="C31">
        <v>5</v>
      </c>
      <c r="D31" s="33">
        <v>74.016313499999995</v>
      </c>
      <c r="E31" s="3"/>
      <c r="F31" s="33">
        <v>76.847500800000006</v>
      </c>
      <c r="G31" s="35"/>
      <c r="H31" s="33">
        <v>72.456881800000005</v>
      </c>
      <c r="I31" s="33"/>
      <c r="J31" s="33"/>
      <c r="L31">
        <v>704.56541179999999</v>
      </c>
      <c r="N31">
        <v>66.651984799999994</v>
      </c>
      <c r="P31">
        <v>86.556363700000006</v>
      </c>
    </row>
    <row r="32" spans="1:16" ht="16" x14ac:dyDescent="0.2">
      <c r="A32" s="53"/>
      <c r="B32" s="47"/>
      <c r="C32">
        <v>6</v>
      </c>
      <c r="D32" s="33">
        <v>606.20832099999996</v>
      </c>
      <c r="E32" s="3"/>
      <c r="F32" s="33">
        <v>75.401437299999998</v>
      </c>
      <c r="G32" s="35"/>
      <c r="H32" s="33">
        <v>72.692214000000007</v>
      </c>
      <c r="I32" s="33"/>
      <c r="J32" s="33"/>
      <c r="L32">
        <v>1577.8932976000001</v>
      </c>
      <c r="N32">
        <v>66.842946999999995</v>
      </c>
      <c r="P32">
        <v>81.386483100000007</v>
      </c>
    </row>
    <row r="33" spans="1:41" ht="17" customHeight="1" x14ac:dyDescent="0.2">
      <c r="A33" s="53"/>
      <c r="B33" s="47"/>
      <c r="C33">
        <v>7</v>
      </c>
      <c r="D33" s="33">
        <v>192.7765613</v>
      </c>
      <c r="E33" s="3"/>
      <c r="F33" s="33">
        <v>211.61069520000001</v>
      </c>
      <c r="G33" s="35"/>
      <c r="H33" s="33">
        <v>72.928730299999998</v>
      </c>
      <c r="I33" s="33"/>
      <c r="J33" s="33"/>
      <c r="L33">
        <v>249.1666912</v>
      </c>
      <c r="N33">
        <v>68.512321200000002</v>
      </c>
      <c r="P33">
        <v>88.930410199999997</v>
      </c>
    </row>
    <row r="34" spans="1:41" ht="17" customHeight="1" x14ac:dyDescent="0.2">
      <c r="A34" s="53"/>
      <c r="B34" s="47"/>
      <c r="C34">
        <v>8</v>
      </c>
      <c r="D34" s="33">
        <v>127.8156833</v>
      </c>
      <c r="E34" s="3"/>
      <c r="F34" s="33">
        <v>70.907640999999998</v>
      </c>
      <c r="G34" s="35"/>
      <c r="H34" s="33">
        <v>70.194977100000003</v>
      </c>
      <c r="I34" s="33"/>
      <c r="J34" s="33"/>
      <c r="L34">
        <v>485.6161606</v>
      </c>
      <c r="N34">
        <v>70.594743300000005</v>
      </c>
      <c r="P34">
        <v>81.324767699999995</v>
      </c>
    </row>
    <row r="35" spans="1:41" ht="17" customHeight="1" x14ac:dyDescent="0.2">
      <c r="A35" s="53"/>
      <c r="B35" s="47"/>
      <c r="C35">
        <v>9</v>
      </c>
      <c r="D35" s="33">
        <v>513.61861380000005</v>
      </c>
      <c r="E35" s="3"/>
      <c r="F35" s="33">
        <v>70.524114600000004</v>
      </c>
      <c r="G35" s="35"/>
      <c r="H35" s="33">
        <v>72.091733000000005</v>
      </c>
      <c r="I35" s="33"/>
      <c r="J35" s="33"/>
      <c r="L35">
        <v>1728.0716404</v>
      </c>
      <c r="N35">
        <v>69.713253100000003</v>
      </c>
      <c r="P35">
        <v>84.404220199999997</v>
      </c>
    </row>
    <row r="36" spans="1:41" ht="16" customHeight="1" x14ac:dyDescent="0.2">
      <c r="A36" s="53"/>
      <c r="B36" s="48"/>
      <c r="C36">
        <v>10</v>
      </c>
      <c r="D36" s="31">
        <v>64.404756800000001</v>
      </c>
      <c r="F36" s="31">
        <v>74.345674200000005</v>
      </c>
      <c r="G36" s="31"/>
      <c r="H36" s="31">
        <v>74.820149400000005</v>
      </c>
      <c r="I36" s="31"/>
      <c r="J36" s="31"/>
      <c r="L36">
        <v>399.93897140000001</v>
      </c>
      <c r="N36">
        <v>71.220160899999996</v>
      </c>
      <c r="P36">
        <v>78.9069042</v>
      </c>
      <c r="W36" s="51" t="s">
        <v>95</v>
      </c>
      <c r="X36" s="51"/>
      <c r="Y36" s="51"/>
      <c r="Z36" s="51"/>
      <c r="AB36" s="51" t="s">
        <v>96</v>
      </c>
      <c r="AC36" s="51"/>
      <c r="AD36" s="51"/>
      <c r="AE36" s="51"/>
      <c r="AG36" s="50" t="s">
        <v>97</v>
      </c>
      <c r="AH36" s="50"/>
      <c r="AI36" s="50"/>
      <c r="AJ36" s="50"/>
      <c r="AL36" s="50" t="s">
        <v>114</v>
      </c>
      <c r="AM36" s="50"/>
      <c r="AN36" s="50"/>
      <c r="AO36" s="50"/>
    </row>
    <row r="37" spans="1:41" ht="16" customHeight="1" x14ac:dyDescent="0.2">
      <c r="A37" s="53"/>
      <c r="F37" s="31"/>
      <c r="G37" s="31"/>
      <c r="H37" s="31"/>
      <c r="I37" s="31"/>
      <c r="J37" s="31"/>
      <c r="X37" s="38"/>
      <c r="Y37" s="38"/>
      <c r="Z37" s="38" t="s">
        <v>90</v>
      </c>
      <c r="AC37" s="38"/>
      <c r="AD37" s="38"/>
      <c r="AE37" s="38" t="s">
        <v>90</v>
      </c>
      <c r="AG37" s="39"/>
      <c r="AH37" s="41"/>
      <c r="AI37" s="41"/>
      <c r="AJ37" s="41" t="s">
        <v>90</v>
      </c>
      <c r="AL37" s="39"/>
      <c r="AM37" s="41"/>
      <c r="AN37" s="41"/>
      <c r="AO37" s="41" t="s">
        <v>90</v>
      </c>
    </row>
    <row r="38" spans="1:41" ht="16" x14ac:dyDescent="0.2">
      <c r="A38" s="53"/>
      <c r="B38" s="46" t="s">
        <v>33</v>
      </c>
      <c r="C38">
        <v>1</v>
      </c>
      <c r="D38" s="31">
        <v>856.66821179999999</v>
      </c>
      <c r="E38" s="3"/>
      <c r="F38" s="33">
        <v>348.55152939999999</v>
      </c>
      <c r="G38" s="35"/>
      <c r="H38" s="33">
        <v>66.098048399999996</v>
      </c>
      <c r="I38" s="33"/>
      <c r="J38" s="33"/>
      <c r="L38">
        <v>272.02645749999999</v>
      </c>
      <c r="N38">
        <v>724.32734670000002</v>
      </c>
      <c r="P38">
        <v>66.911195300000003</v>
      </c>
      <c r="W38" s="37" t="s">
        <v>91</v>
      </c>
      <c r="X38" s="10">
        <f>AVERAGE(D7:D67,L7:L67)</f>
        <v>546.31773920583328</v>
      </c>
      <c r="Z38" s="26">
        <f>TIME(,,X38)</f>
        <v>6.3194444444444444E-3</v>
      </c>
      <c r="AB38" s="37" t="s">
        <v>91</v>
      </c>
      <c r="AC38" s="10">
        <f>AVERAGE(F7:F67,N7:N67)</f>
        <v>374.52974976499985</v>
      </c>
      <c r="AD38" s="10"/>
      <c r="AE38" s="26">
        <f>TIME(,,AC38)</f>
        <v>4.3287037037037035E-3</v>
      </c>
      <c r="AG38" s="40" t="s">
        <v>91</v>
      </c>
      <c r="AH38" s="42">
        <f>AVERAGE(H7:H67,P7:P67)</f>
        <v>96.597025105833339</v>
      </c>
      <c r="AI38" s="42"/>
      <c r="AJ38" s="43">
        <f>TIME(,,AH38)</f>
        <v>1.1111111111111111E-3</v>
      </c>
      <c r="AL38" s="40" t="s">
        <v>91</v>
      </c>
      <c r="AM38" s="42" t="e">
        <f>AVERAGE(J7:J67,R7:R67)</f>
        <v>#DIV/0!</v>
      </c>
      <c r="AN38" s="42"/>
      <c r="AO38" s="43" t="e">
        <f>TIME(,,AM38)</f>
        <v>#DIV/0!</v>
      </c>
    </row>
    <row r="39" spans="1:41" ht="16" x14ac:dyDescent="0.2">
      <c r="A39" s="53"/>
      <c r="B39" s="47"/>
      <c r="C39">
        <v>2</v>
      </c>
      <c r="D39" s="31">
        <v>560.73959749999995</v>
      </c>
      <c r="E39" s="3"/>
      <c r="F39" s="33">
        <v>346.30972109999999</v>
      </c>
      <c r="G39" s="35"/>
      <c r="H39" s="33">
        <v>61.709756200000001</v>
      </c>
      <c r="I39" s="33"/>
      <c r="J39" s="33"/>
      <c r="L39">
        <v>271.00988949999999</v>
      </c>
      <c r="N39">
        <v>516.50285350000001</v>
      </c>
      <c r="P39">
        <v>64.378168500000001</v>
      </c>
      <c r="W39" s="37" t="s">
        <v>92</v>
      </c>
      <c r="X39" s="10">
        <f>MIN(D7:D67,L7:L67)</f>
        <v>62.1611634</v>
      </c>
      <c r="Z39" s="26">
        <f t="shared" ref="Z39:Z41" si="1">TIME(,,X39)</f>
        <v>7.1759259259259259E-4</v>
      </c>
      <c r="AB39" s="37" t="s">
        <v>92</v>
      </c>
      <c r="AC39" s="10">
        <f>MIN(F7:F67,N7:N67)</f>
        <v>59.023810400000002</v>
      </c>
      <c r="AD39" s="10"/>
      <c r="AE39" s="26">
        <f t="shared" ref="AE39:AE41" si="2">TIME(,,AC39)</f>
        <v>6.8287037037037036E-4</v>
      </c>
      <c r="AG39" s="40" t="s">
        <v>92</v>
      </c>
      <c r="AH39" s="42">
        <f>MIN(H7:H67,P7:P67)</f>
        <v>61.305089099999996</v>
      </c>
      <c r="AI39" s="42"/>
      <c r="AJ39" s="43">
        <f t="shared" ref="AJ39:AJ41" si="3">TIME(,,AH39)</f>
        <v>7.0601851851851847E-4</v>
      </c>
      <c r="AL39" s="40" t="s">
        <v>92</v>
      </c>
      <c r="AM39" s="42">
        <f>MIN(J7:J67,R7:R67)</f>
        <v>0</v>
      </c>
      <c r="AN39" s="42"/>
      <c r="AO39" s="43">
        <f t="shared" ref="AO39:AO41" si="4">TIME(,,AM39)</f>
        <v>0</v>
      </c>
    </row>
    <row r="40" spans="1:41" ht="16" x14ac:dyDescent="0.2">
      <c r="A40" s="53"/>
      <c r="B40" s="47"/>
      <c r="C40">
        <v>3</v>
      </c>
      <c r="D40" s="31">
        <v>595.46597929999996</v>
      </c>
      <c r="E40" s="3"/>
      <c r="F40" s="33">
        <v>923.73771899999997</v>
      </c>
      <c r="G40" s="35"/>
      <c r="H40" s="33">
        <v>188.01339630000001</v>
      </c>
      <c r="I40" s="33"/>
      <c r="J40" s="33"/>
      <c r="L40">
        <v>726.76372800000001</v>
      </c>
      <c r="N40">
        <v>627.01927850000004</v>
      </c>
      <c r="P40">
        <v>66.806464399999996</v>
      </c>
      <c r="W40" s="37" t="s">
        <v>93</v>
      </c>
      <c r="X40" s="10">
        <f>MAX(D7:D67,L7:L67)</f>
        <v>2702.1846860999999</v>
      </c>
      <c r="Z40" s="26">
        <f t="shared" si="1"/>
        <v>3.1273148148148147E-2</v>
      </c>
      <c r="AB40" s="37" t="s">
        <v>93</v>
      </c>
      <c r="AC40" s="10">
        <f>MAX(F7:F67,N7:N67)</f>
        <v>7218.0189136999998</v>
      </c>
      <c r="AD40" s="10"/>
      <c r="AE40" s="26">
        <f t="shared" si="2"/>
        <v>8.3541666666666667E-2</v>
      </c>
      <c r="AG40" s="40" t="s">
        <v>93</v>
      </c>
      <c r="AH40" s="42">
        <f>MAX(H7:H67,P7:P67)</f>
        <v>456.90458919999998</v>
      </c>
      <c r="AI40" s="42"/>
      <c r="AJ40" s="43">
        <f t="shared" si="3"/>
        <v>5.2777777777777779E-3</v>
      </c>
      <c r="AL40" s="40" t="s">
        <v>93</v>
      </c>
      <c r="AM40" s="42">
        <f>MAX(J7:J67,R7:R67)</f>
        <v>0</v>
      </c>
      <c r="AN40" s="42"/>
      <c r="AO40" s="43">
        <f t="shared" si="4"/>
        <v>0</v>
      </c>
    </row>
    <row r="41" spans="1:41" ht="16" x14ac:dyDescent="0.2">
      <c r="A41" s="53"/>
      <c r="B41" s="47"/>
      <c r="C41">
        <v>4</v>
      </c>
      <c r="D41" s="31">
        <v>931.25231329999997</v>
      </c>
      <c r="E41" s="3"/>
      <c r="F41" s="33">
        <v>70.644040500000003</v>
      </c>
      <c r="G41" s="35"/>
      <c r="H41" s="33">
        <v>248.90476090000001</v>
      </c>
      <c r="I41" s="33"/>
      <c r="J41" s="33"/>
      <c r="L41">
        <v>540.2707183</v>
      </c>
      <c r="N41">
        <v>203.78538520000001</v>
      </c>
      <c r="P41">
        <v>383.47915019999999</v>
      </c>
      <c r="W41" s="37" t="s">
        <v>94</v>
      </c>
      <c r="X41" s="10">
        <f>STDEV(D7:D67,L7:L67)</f>
        <v>503.77851799898792</v>
      </c>
      <c r="Z41" s="26">
        <f t="shared" si="1"/>
        <v>5.8217592592592592E-3</v>
      </c>
      <c r="AB41" s="37" t="s">
        <v>94</v>
      </c>
      <c r="AC41" s="10">
        <f>STDEV(F7:F67,N7:N67)</f>
        <v>777.67428783235016</v>
      </c>
      <c r="AD41" s="10"/>
      <c r="AE41" s="26">
        <f t="shared" si="2"/>
        <v>8.9930555555555562E-3</v>
      </c>
      <c r="AG41" s="40" t="s">
        <v>94</v>
      </c>
      <c r="AH41" s="42">
        <f>STDEV(H7:H67,P7:P67)</f>
        <v>70.136006265364259</v>
      </c>
      <c r="AI41" s="42"/>
      <c r="AJ41" s="43">
        <f t="shared" si="3"/>
        <v>8.1018518518518516E-4</v>
      </c>
      <c r="AL41" s="40" t="s">
        <v>94</v>
      </c>
      <c r="AM41" s="42" t="e">
        <f>STDEV(J7:J67,R7:R67)</f>
        <v>#DIV/0!</v>
      </c>
      <c r="AN41" s="42"/>
      <c r="AO41" s="43" t="e">
        <f t="shared" si="4"/>
        <v>#DIV/0!</v>
      </c>
    </row>
    <row r="42" spans="1:41" ht="16" x14ac:dyDescent="0.2">
      <c r="A42" s="53"/>
      <c r="B42" s="47"/>
      <c r="C42">
        <v>5</v>
      </c>
      <c r="D42" s="31">
        <v>782.94487100000003</v>
      </c>
      <c r="E42" s="3"/>
      <c r="F42" s="33">
        <v>603.08956279999995</v>
      </c>
      <c r="G42" s="35"/>
      <c r="H42" s="33">
        <v>61.305089099999996</v>
      </c>
      <c r="I42" s="33"/>
      <c r="J42" s="33"/>
      <c r="L42">
        <v>64.362414000000001</v>
      </c>
      <c r="N42">
        <v>2114.0303715999999</v>
      </c>
      <c r="P42">
        <v>62.552345799999998</v>
      </c>
    </row>
    <row r="43" spans="1:41" ht="16" x14ac:dyDescent="0.2">
      <c r="A43" s="53"/>
      <c r="B43" s="47"/>
      <c r="C43">
        <v>6</v>
      </c>
      <c r="D43" s="31">
        <v>1186.3666793</v>
      </c>
      <c r="E43" s="3"/>
      <c r="F43" s="33">
        <v>59.339839300000001</v>
      </c>
      <c r="G43" s="35"/>
      <c r="H43" s="33">
        <v>310.8813571</v>
      </c>
      <c r="I43" s="33"/>
      <c r="J43" s="33"/>
      <c r="L43">
        <v>64.178668500000001</v>
      </c>
      <c r="N43">
        <v>363.88059229999999</v>
      </c>
      <c r="P43">
        <v>66.208508899999998</v>
      </c>
    </row>
    <row r="44" spans="1:41" ht="17" customHeight="1" x14ac:dyDescent="0.2">
      <c r="A44" s="53"/>
      <c r="B44" s="47"/>
      <c r="C44">
        <v>7</v>
      </c>
      <c r="D44" s="31">
        <v>1197.6124918</v>
      </c>
      <c r="E44" s="3"/>
      <c r="F44" s="33">
        <v>119.781543</v>
      </c>
      <c r="G44" s="35"/>
      <c r="H44" s="33">
        <v>185.79902559999999</v>
      </c>
      <c r="I44" s="33"/>
      <c r="J44" s="33"/>
      <c r="L44">
        <v>128.72593209999999</v>
      </c>
      <c r="N44">
        <v>2376.7919195999998</v>
      </c>
      <c r="P44">
        <v>132.51080440000001</v>
      </c>
      <c r="W44" s="37"/>
      <c r="X44" s="37"/>
      <c r="Y44" s="37"/>
      <c r="Z44" s="37"/>
      <c r="AB44" s="51" t="s">
        <v>98</v>
      </c>
      <c r="AC44" s="51"/>
      <c r="AD44" s="51"/>
      <c r="AE44" s="51"/>
      <c r="AG44" s="50" t="s">
        <v>99</v>
      </c>
      <c r="AH44" s="50"/>
      <c r="AI44" s="50"/>
      <c r="AJ44" s="50"/>
      <c r="AL44" s="50" t="s">
        <v>113</v>
      </c>
      <c r="AM44" s="50"/>
      <c r="AN44" s="50"/>
      <c r="AO44" s="50"/>
    </row>
    <row r="45" spans="1:41" ht="17" customHeight="1" x14ac:dyDescent="0.2">
      <c r="A45" s="53"/>
      <c r="B45" s="47"/>
      <c r="C45">
        <v>8</v>
      </c>
      <c r="D45" s="31">
        <v>548.76061870000001</v>
      </c>
      <c r="E45" s="3"/>
      <c r="F45" s="33">
        <v>59.023810400000002</v>
      </c>
      <c r="G45" s="35"/>
      <c r="H45" s="33">
        <v>61.944671700000001</v>
      </c>
      <c r="I45" s="33"/>
      <c r="J45" s="33"/>
      <c r="L45">
        <v>1315.3337303000001</v>
      </c>
      <c r="N45">
        <v>7218.0189136999998</v>
      </c>
      <c r="P45">
        <v>67.6577901</v>
      </c>
      <c r="X45" s="38"/>
      <c r="Y45" s="38"/>
      <c r="Z45" s="38"/>
      <c r="AC45" s="38"/>
      <c r="AD45" s="38"/>
      <c r="AE45" s="38" t="s">
        <v>90</v>
      </c>
      <c r="AG45" s="39"/>
      <c r="AH45" s="41"/>
      <c r="AI45" s="41"/>
      <c r="AJ45" s="41" t="s">
        <v>90</v>
      </c>
      <c r="AL45" s="39"/>
      <c r="AM45" s="41"/>
      <c r="AN45" s="41"/>
      <c r="AO45" s="41" t="s">
        <v>90</v>
      </c>
    </row>
    <row r="46" spans="1:41" ht="17" customHeight="1" x14ac:dyDescent="0.2">
      <c r="A46" s="53"/>
      <c r="B46" s="47"/>
      <c r="C46">
        <v>9</v>
      </c>
      <c r="D46" s="31">
        <v>589.80736690000003</v>
      </c>
      <c r="E46" s="3"/>
      <c r="F46" s="33">
        <v>177.46769990000001</v>
      </c>
      <c r="G46" s="35"/>
      <c r="H46" s="33">
        <v>62.026653699999997</v>
      </c>
      <c r="I46" s="33"/>
      <c r="J46" s="33"/>
      <c r="L46">
        <v>1165.9940234000001</v>
      </c>
      <c r="N46">
        <v>776.33947339999997</v>
      </c>
      <c r="P46">
        <v>65.501620900000006</v>
      </c>
      <c r="W46" s="37"/>
      <c r="Z46" s="26"/>
      <c r="AB46" s="37" t="s">
        <v>91</v>
      </c>
      <c r="AC46" s="10">
        <f>AVERAGE(F74:F134,N74:N134)</f>
        <v>504.82828081192645</v>
      </c>
      <c r="AD46" s="10"/>
      <c r="AE46" s="26">
        <f>TIME(,,AC46)</f>
        <v>5.8333333333333336E-3</v>
      </c>
      <c r="AG46" s="40" t="s">
        <v>91</v>
      </c>
      <c r="AH46" s="42">
        <f>AVERAGE(H74:H134,P74:P134)</f>
        <v>248.11779057499996</v>
      </c>
      <c r="AI46" s="42"/>
      <c r="AJ46" s="43">
        <f>TIME(,,AH46)</f>
        <v>2.8703703703703703E-3</v>
      </c>
      <c r="AL46" s="40" t="s">
        <v>91</v>
      </c>
      <c r="AM46" s="42">
        <f>AVERAGE(H74:H134,R74:R134)</f>
        <v>133.6580019466667</v>
      </c>
      <c r="AN46" s="42"/>
      <c r="AO46" s="43">
        <f>TIME(,,AM46)</f>
        <v>1.5393518518518519E-3</v>
      </c>
    </row>
    <row r="47" spans="1:41" ht="16" customHeight="1" x14ac:dyDescent="0.2">
      <c r="A47" s="53"/>
      <c r="B47" s="48"/>
      <c r="C47">
        <v>10</v>
      </c>
      <c r="D47" s="32">
        <v>1170.4635184000001</v>
      </c>
      <c r="F47" s="31">
        <v>410.86826769999999</v>
      </c>
      <c r="G47" s="31"/>
      <c r="H47" s="31">
        <v>452.67738200000002</v>
      </c>
      <c r="I47" s="31"/>
      <c r="J47" s="31"/>
      <c r="L47">
        <v>1281.4269638999999</v>
      </c>
      <c r="N47">
        <v>258.84629430000001</v>
      </c>
      <c r="P47">
        <v>65.377549599999995</v>
      </c>
      <c r="W47" s="37"/>
      <c r="Z47" s="26"/>
      <c r="AB47" s="37" t="s">
        <v>92</v>
      </c>
      <c r="AC47" s="10">
        <f>MIN(F74:F134,N74:N134)</f>
        <v>64.483929500000002</v>
      </c>
      <c r="AD47" s="10"/>
      <c r="AE47" s="26">
        <f t="shared" ref="AE47:AE49" si="5">TIME(,,AC47)</f>
        <v>7.407407407407407E-4</v>
      </c>
      <c r="AG47" s="40" t="s">
        <v>92</v>
      </c>
      <c r="AH47" s="42">
        <f>MIN(H74:H134,P74:P134)</f>
        <v>64.796429700000004</v>
      </c>
      <c r="AI47" s="42"/>
      <c r="AJ47" s="43">
        <f t="shared" ref="AJ47:AJ49" si="6">TIME(,,AH47)</f>
        <v>7.407407407407407E-4</v>
      </c>
      <c r="AL47" s="40" t="s">
        <v>92</v>
      </c>
      <c r="AM47" s="42">
        <f>MIN(J74:J134,R74:R134)</f>
        <v>49.9163</v>
      </c>
      <c r="AN47" s="42"/>
      <c r="AO47" s="43">
        <f t="shared" ref="AO47:AO49" si="7">TIME(,,AM47)</f>
        <v>5.6712962962962967E-4</v>
      </c>
    </row>
    <row r="48" spans="1:41" ht="16" x14ac:dyDescent="0.2">
      <c r="A48" s="53"/>
      <c r="B48" s="46" t="s">
        <v>42</v>
      </c>
      <c r="C48">
        <v>1</v>
      </c>
      <c r="D48" s="33">
        <v>921.46957120000002</v>
      </c>
      <c r="E48" s="3"/>
      <c r="F48" s="33">
        <v>68.452188699999994</v>
      </c>
      <c r="G48" s="35"/>
      <c r="H48" s="33">
        <v>66.010996500000005</v>
      </c>
      <c r="I48" s="33"/>
      <c r="J48" s="33"/>
      <c r="L48">
        <v>1067.6859191999999</v>
      </c>
      <c r="N48">
        <v>441.2645364</v>
      </c>
      <c r="P48">
        <v>75.916192300000006</v>
      </c>
      <c r="W48" s="37"/>
      <c r="Z48" s="26"/>
      <c r="AB48" s="37" t="s">
        <v>93</v>
      </c>
      <c r="AC48" s="10">
        <f>MAX(F74:F134,N74:N134)</f>
        <v>3419.3379930999999</v>
      </c>
      <c r="AD48" s="10"/>
      <c r="AE48" s="26">
        <f t="shared" si="5"/>
        <v>3.9571759259259258E-2</v>
      </c>
      <c r="AG48" s="40" t="s">
        <v>93</v>
      </c>
      <c r="AH48" s="42">
        <f>MAX(H74:H134,P74:P134)</f>
        <v>2129.4957175999998</v>
      </c>
      <c r="AI48" s="42"/>
      <c r="AJ48" s="43">
        <f t="shared" si="6"/>
        <v>2.4641203703703703E-2</v>
      </c>
      <c r="AL48" s="40" t="s">
        <v>93</v>
      </c>
      <c r="AM48" s="42">
        <f>MAX(J74:J134,R74:R134)</f>
        <v>353.98700000000002</v>
      </c>
      <c r="AN48" s="42"/>
      <c r="AO48" s="43">
        <f t="shared" si="7"/>
        <v>4.0856481481481481E-3</v>
      </c>
    </row>
    <row r="49" spans="1:41" ht="16" x14ac:dyDescent="0.2">
      <c r="A49" s="53"/>
      <c r="B49" s="47"/>
      <c r="C49">
        <v>2</v>
      </c>
      <c r="D49" s="33">
        <v>1285.5478797000001</v>
      </c>
      <c r="E49" s="3"/>
      <c r="F49" s="33">
        <v>61.940396</v>
      </c>
      <c r="G49" s="35"/>
      <c r="H49" s="33">
        <v>61.7772839</v>
      </c>
      <c r="I49" s="33"/>
      <c r="J49" s="33"/>
      <c r="L49">
        <v>496.0932545</v>
      </c>
      <c r="N49">
        <v>245.3121313</v>
      </c>
      <c r="P49">
        <v>68.917741399999997</v>
      </c>
      <c r="W49" s="37"/>
      <c r="Z49" s="26"/>
      <c r="AB49" s="37" t="s">
        <v>94</v>
      </c>
      <c r="AC49" s="10">
        <f>STDEV(F74:F134,N74:N134)</f>
        <v>597.31219328536656</v>
      </c>
      <c r="AD49" s="10"/>
      <c r="AE49" s="26">
        <f t="shared" si="5"/>
        <v>6.9097222222222225E-3</v>
      </c>
      <c r="AG49" s="40" t="s">
        <v>94</v>
      </c>
      <c r="AH49" s="42">
        <f>STDEV(H74:H134,P74:P134)</f>
        <v>299.24178733784595</v>
      </c>
      <c r="AI49" s="42"/>
      <c r="AJ49" s="43">
        <f t="shared" si="6"/>
        <v>3.460648148148148E-3</v>
      </c>
      <c r="AL49" s="40" t="s">
        <v>94</v>
      </c>
      <c r="AM49" s="42">
        <f>STDEV(J74:J134,R74:R134)</f>
        <v>34.253767070059197</v>
      </c>
      <c r="AN49" s="42"/>
      <c r="AO49" s="43">
        <f t="shared" si="7"/>
        <v>3.9351851851851852E-4</v>
      </c>
    </row>
    <row r="50" spans="1:41" ht="16" x14ac:dyDescent="0.2">
      <c r="A50" s="53"/>
      <c r="B50" s="47"/>
      <c r="C50">
        <v>3</v>
      </c>
      <c r="D50" s="33">
        <v>795.21650360000001</v>
      </c>
      <c r="E50" s="3"/>
      <c r="F50" s="33">
        <v>442.61463730000003</v>
      </c>
      <c r="G50" s="35"/>
      <c r="H50" s="33">
        <v>62.869197700000001</v>
      </c>
      <c r="I50" s="33"/>
      <c r="J50" s="33"/>
      <c r="L50">
        <v>2702.1846860999999</v>
      </c>
      <c r="N50">
        <v>306.33084680000002</v>
      </c>
      <c r="P50">
        <v>66.262496600000006</v>
      </c>
    </row>
    <row r="51" spans="1:41" ht="16" x14ac:dyDescent="0.2">
      <c r="A51" s="53"/>
      <c r="B51" s="47"/>
      <c r="C51">
        <v>4</v>
      </c>
      <c r="D51" s="33">
        <v>607.07531410000001</v>
      </c>
      <c r="E51" s="3"/>
      <c r="F51" s="33">
        <v>218.94536149999999</v>
      </c>
      <c r="G51" s="35"/>
      <c r="H51" s="33">
        <v>74.841529699999995</v>
      </c>
      <c r="I51" s="33"/>
      <c r="J51" s="33"/>
      <c r="L51">
        <v>1368.3347223999999</v>
      </c>
      <c r="N51">
        <v>185.0211382</v>
      </c>
      <c r="P51">
        <v>65.344129800000005</v>
      </c>
    </row>
    <row r="52" spans="1:41" ht="16" x14ac:dyDescent="0.2">
      <c r="A52" s="53"/>
      <c r="B52" s="47"/>
      <c r="C52">
        <v>5</v>
      </c>
      <c r="D52" s="33">
        <v>1221.9690510999999</v>
      </c>
      <c r="E52" s="3"/>
      <c r="F52" s="33">
        <v>288.84325860000001</v>
      </c>
      <c r="G52" s="35"/>
      <c r="H52" s="33">
        <v>65.391042400000003</v>
      </c>
      <c r="I52" s="33"/>
      <c r="J52" s="33"/>
      <c r="L52">
        <v>122.9923916</v>
      </c>
      <c r="N52">
        <v>121.817357</v>
      </c>
      <c r="P52">
        <v>73.091260399999996</v>
      </c>
    </row>
    <row r="53" spans="1:41" ht="16" x14ac:dyDescent="0.2">
      <c r="A53" s="53"/>
      <c r="B53" s="47"/>
      <c r="C53">
        <v>6</v>
      </c>
      <c r="D53" s="33">
        <v>734.22413310000002</v>
      </c>
      <c r="E53" s="3"/>
      <c r="F53" s="33">
        <v>70.761713099999994</v>
      </c>
      <c r="G53" s="35"/>
      <c r="H53" s="33">
        <v>65.577701300000001</v>
      </c>
      <c r="I53" s="33"/>
      <c r="J53" s="33"/>
      <c r="L53">
        <v>122.7202302</v>
      </c>
      <c r="N53">
        <v>61.669807200000001</v>
      </c>
      <c r="P53">
        <v>69.363162599999995</v>
      </c>
    </row>
    <row r="54" spans="1:41" ht="17" customHeight="1" x14ac:dyDescent="0.2">
      <c r="A54" s="53"/>
      <c r="B54" s="47"/>
      <c r="C54">
        <v>7</v>
      </c>
      <c r="D54" s="33">
        <v>182.15036839999999</v>
      </c>
      <c r="E54" s="3"/>
      <c r="F54" s="33">
        <v>71.898142300000004</v>
      </c>
      <c r="G54" s="35"/>
      <c r="H54" s="33">
        <v>63.4976409</v>
      </c>
      <c r="I54" s="33"/>
      <c r="J54" s="33"/>
      <c r="L54">
        <v>1246.0557417</v>
      </c>
      <c r="N54">
        <v>244.8656919</v>
      </c>
      <c r="P54">
        <v>66.126271200000005</v>
      </c>
      <c r="W54" s="51" t="s">
        <v>100</v>
      </c>
      <c r="X54" s="51"/>
      <c r="Y54" s="51"/>
      <c r="Z54" s="51"/>
      <c r="AB54" s="51" t="s">
        <v>101</v>
      </c>
      <c r="AC54" s="51"/>
      <c r="AD54" s="51"/>
      <c r="AE54" s="51"/>
    </row>
    <row r="55" spans="1:41" ht="17" customHeight="1" x14ac:dyDescent="0.2">
      <c r="A55" s="53"/>
      <c r="B55" s="47"/>
      <c r="C55">
        <v>8</v>
      </c>
      <c r="D55" s="33">
        <v>609.67605979999996</v>
      </c>
      <c r="E55" s="3"/>
      <c r="F55" s="33">
        <v>215.7355882</v>
      </c>
      <c r="G55" s="35"/>
      <c r="H55" s="33">
        <v>64.229546999999997</v>
      </c>
      <c r="I55" s="33"/>
      <c r="J55" s="33"/>
      <c r="L55">
        <v>123.4047491</v>
      </c>
      <c r="N55">
        <v>61.419639699999998</v>
      </c>
      <c r="P55">
        <v>64.695870499999998</v>
      </c>
      <c r="X55" s="38"/>
      <c r="Y55" s="38"/>
      <c r="Z55" s="38" t="s">
        <v>90</v>
      </c>
      <c r="AC55" s="38"/>
      <c r="AD55" s="38"/>
      <c r="AE55" s="38" t="s">
        <v>90</v>
      </c>
    </row>
    <row r="56" spans="1:41" ht="17" customHeight="1" x14ac:dyDescent="0.2">
      <c r="A56" s="53"/>
      <c r="B56" s="47"/>
      <c r="C56">
        <v>9</v>
      </c>
      <c r="D56" s="33">
        <v>2074.6347596000001</v>
      </c>
      <c r="E56" s="3"/>
      <c r="F56" s="33">
        <v>285.81964140000002</v>
      </c>
      <c r="G56" s="35"/>
      <c r="H56" s="33">
        <v>63.266840199999997</v>
      </c>
      <c r="I56" s="33"/>
      <c r="J56" s="33"/>
      <c r="L56">
        <v>434.81144430000001</v>
      </c>
      <c r="N56">
        <v>61.638997500000002</v>
      </c>
      <c r="P56">
        <v>66.252286600000005</v>
      </c>
      <c r="W56" s="37" t="s">
        <v>91</v>
      </c>
      <c r="X56" s="10">
        <f>AVERAGE(D7:J67,F74:J134)</f>
        <v>291.95593470416668</v>
      </c>
      <c r="Z56" s="26">
        <f>TIME(,,X56)</f>
        <v>3.3680555555555556E-3</v>
      </c>
      <c r="AB56" s="37" t="s">
        <v>91</v>
      </c>
      <c r="AC56" s="10">
        <f>AVERAGE(L7:R67,N74:R103,N105:R134)</f>
        <v>311.41033659942678</v>
      </c>
      <c r="AD56" s="10"/>
      <c r="AE56" s="26">
        <f>TIME(,,AC56)</f>
        <v>3.5995370370370369E-3</v>
      </c>
    </row>
    <row r="57" spans="1:41" ht="16" customHeight="1" x14ac:dyDescent="0.2">
      <c r="A57" s="53"/>
      <c r="B57" s="48"/>
      <c r="C57">
        <v>10</v>
      </c>
      <c r="D57" s="31">
        <v>863.96391870000002</v>
      </c>
      <c r="F57" s="31">
        <v>71.6319728</v>
      </c>
      <c r="G57" s="31"/>
      <c r="H57" s="31">
        <v>62.7056605</v>
      </c>
      <c r="I57" s="31"/>
      <c r="J57" s="31"/>
      <c r="L57">
        <v>1426.1018938</v>
      </c>
      <c r="N57">
        <v>122.74415930000001</v>
      </c>
      <c r="P57">
        <v>65.3028932</v>
      </c>
      <c r="W57" s="37" t="s">
        <v>92</v>
      </c>
      <c r="X57" s="10">
        <f>MIN(D7:J67,F74:J134)</f>
        <v>50.256300000000003</v>
      </c>
      <c r="Z57" s="26">
        <f t="shared" ref="Z57:Z59" si="8">TIME(,,X57)</f>
        <v>5.7870370370370367E-4</v>
      </c>
      <c r="AB57" s="37" t="s">
        <v>92</v>
      </c>
      <c r="AC57" s="10">
        <f>MIN(L7:R67,N74:R103,N105:R134)</f>
        <v>49.9163</v>
      </c>
      <c r="AD57" s="10"/>
      <c r="AE57" s="26">
        <f t="shared" ref="AE57:AE59" si="9">TIME(,,AC57)</f>
        <v>5.6712962962962967E-4</v>
      </c>
    </row>
    <row r="58" spans="1:41" ht="16" x14ac:dyDescent="0.2">
      <c r="A58" s="53"/>
      <c r="B58" s="46" t="s">
        <v>48</v>
      </c>
      <c r="C58">
        <v>1</v>
      </c>
      <c r="D58" s="33">
        <v>322.92486050000002</v>
      </c>
      <c r="E58" s="3"/>
      <c r="F58" s="33">
        <v>431.84449000000001</v>
      </c>
      <c r="G58" s="35"/>
      <c r="H58" s="33">
        <v>77.070805199999995</v>
      </c>
      <c r="I58" s="33"/>
      <c r="L58">
        <v>66.247412199999999</v>
      </c>
      <c r="N58">
        <v>206.059055</v>
      </c>
      <c r="P58">
        <v>95.839778699999997</v>
      </c>
      <c r="W58" s="37" t="s">
        <v>93</v>
      </c>
      <c r="X58" s="10">
        <f>MAX(D7:J67,F74:J134)</f>
        <v>2543.6004963999999</v>
      </c>
      <c r="Z58" s="26">
        <f t="shared" si="8"/>
        <v>2.943287037037037E-2</v>
      </c>
      <c r="AB58" s="37" t="s">
        <v>93</v>
      </c>
      <c r="AC58" s="10">
        <f>MAX(L7:R67,N74:R103,N105:R134)</f>
        <v>7218.0189136999998</v>
      </c>
      <c r="AD58" s="10"/>
      <c r="AE58" s="26">
        <f t="shared" si="9"/>
        <v>8.3541666666666667E-2</v>
      </c>
    </row>
    <row r="59" spans="1:41" ht="16" x14ac:dyDescent="0.2">
      <c r="A59" s="53"/>
      <c r="B59" s="47"/>
      <c r="C59">
        <v>2</v>
      </c>
      <c r="D59" s="33">
        <v>1461.4208868000001</v>
      </c>
      <c r="E59" s="3"/>
      <c r="F59" s="33">
        <v>123.1236773</v>
      </c>
      <c r="G59" s="35"/>
      <c r="H59" s="33">
        <v>67.473517299999997</v>
      </c>
      <c r="I59" s="33"/>
      <c r="L59">
        <v>386.56979080000002</v>
      </c>
      <c r="N59">
        <v>61.946001899999999</v>
      </c>
      <c r="P59">
        <v>110.28815590000001</v>
      </c>
      <c r="W59" s="37" t="s">
        <v>94</v>
      </c>
      <c r="X59" s="10">
        <f>STDEV(D7:J67,F74:J134)</f>
        <v>375.39820027214569</v>
      </c>
      <c r="Z59" s="26">
        <f t="shared" si="8"/>
        <v>4.340277777777778E-3</v>
      </c>
      <c r="AB59" s="37" t="s">
        <v>94</v>
      </c>
      <c r="AC59" s="10">
        <f>STDEV(L7:R67,N74:R103,N105:R134)</f>
        <v>602.41664910795362</v>
      </c>
      <c r="AD59" s="10"/>
      <c r="AE59" s="26">
        <f t="shared" si="9"/>
        <v>6.9675925925925929E-3</v>
      </c>
    </row>
    <row r="60" spans="1:41" ht="16" x14ac:dyDescent="0.2">
      <c r="A60" s="53"/>
      <c r="B60" s="47"/>
      <c r="C60">
        <v>3</v>
      </c>
      <c r="D60" s="33">
        <v>578.48428390000004</v>
      </c>
      <c r="E60" s="3"/>
      <c r="F60" s="33">
        <v>62.623213100000001</v>
      </c>
      <c r="G60" s="35"/>
      <c r="H60" s="33">
        <v>63.312723699999999</v>
      </c>
      <c r="I60" s="33"/>
      <c r="L60">
        <v>686.01692530000003</v>
      </c>
      <c r="N60">
        <v>64.429386699999995</v>
      </c>
      <c r="P60">
        <v>116.1841663</v>
      </c>
    </row>
    <row r="61" spans="1:41" ht="16" x14ac:dyDescent="0.2">
      <c r="A61" s="53"/>
      <c r="B61" s="47"/>
      <c r="C61">
        <v>4</v>
      </c>
      <c r="D61" s="33">
        <v>849.21040889999995</v>
      </c>
      <c r="E61" s="3"/>
      <c r="F61" s="33">
        <v>61.993555299999997</v>
      </c>
      <c r="G61" s="35"/>
      <c r="H61" s="33">
        <v>66.620741300000006</v>
      </c>
      <c r="I61" s="33"/>
      <c r="L61">
        <v>63.7846884</v>
      </c>
      <c r="N61">
        <v>183.68048870000001</v>
      </c>
      <c r="P61">
        <v>110.5701389</v>
      </c>
    </row>
    <row r="62" spans="1:41" ht="16" x14ac:dyDescent="0.2">
      <c r="A62" s="53"/>
      <c r="B62" s="47"/>
      <c r="C62">
        <v>5</v>
      </c>
      <c r="D62" s="33">
        <v>1206.5906163</v>
      </c>
      <c r="E62" s="3"/>
      <c r="F62" s="33">
        <v>61.794860900000003</v>
      </c>
      <c r="G62" s="35"/>
      <c r="H62" s="33">
        <v>63.612826599999998</v>
      </c>
      <c r="I62" s="33"/>
      <c r="L62">
        <v>560.03005040000005</v>
      </c>
      <c r="N62">
        <v>63.199841900000003</v>
      </c>
      <c r="P62">
        <v>112.1447738</v>
      </c>
    </row>
    <row r="63" spans="1:41" ht="16" x14ac:dyDescent="0.2">
      <c r="A63" s="53"/>
      <c r="B63" s="47"/>
      <c r="C63">
        <v>6</v>
      </c>
      <c r="D63" s="33">
        <v>191.62464489999999</v>
      </c>
      <c r="E63" s="3"/>
      <c r="F63" s="33">
        <v>62.768350400000003</v>
      </c>
      <c r="G63" s="35"/>
      <c r="H63" s="33">
        <v>62.2764235</v>
      </c>
      <c r="I63" s="33"/>
      <c r="L63">
        <v>685.14225999999996</v>
      </c>
      <c r="N63">
        <v>122.9248932</v>
      </c>
      <c r="P63">
        <v>105.71322069999999</v>
      </c>
    </row>
    <row r="64" spans="1:41" ht="17" customHeight="1" x14ac:dyDescent="0.2">
      <c r="A64" s="53"/>
      <c r="B64" s="47"/>
      <c r="C64">
        <v>7</v>
      </c>
      <c r="D64" s="33">
        <v>314.20750650000002</v>
      </c>
      <c r="E64" s="3"/>
      <c r="F64" s="33">
        <v>124.868123</v>
      </c>
      <c r="G64" s="35"/>
      <c r="H64" s="33">
        <v>62.672274899999998</v>
      </c>
      <c r="I64" s="33"/>
      <c r="L64">
        <v>124.58991930000001</v>
      </c>
      <c r="N64">
        <v>62.615116499999999</v>
      </c>
      <c r="P64">
        <v>103.50280239999999</v>
      </c>
    </row>
    <row r="65" spans="1:30" ht="17" customHeight="1" x14ac:dyDescent="0.2">
      <c r="A65" s="53"/>
      <c r="B65" s="47"/>
      <c r="C65">
        <v>8</v>
      </c>
      <c r="D65" s="33">
        <v>378.59378170000002</v>
      </c>
      <c r="E65" s="3"/>
      <c r="F65" s="33">
        <v>554.31021550000003</v>
      </c>
      <c r="G65" s="35"/>
      <c r="H65" s="33">
        <v>62.066623900000003</v>
      </c>
      <c r="I65" s="33"/>
      <c r="L65">
        <v>1430.3951505</v>
      </c>
      <c r="N65">
        <v>311.06919740000001</v>
      </c>
      <c r="P65">
        <v>89.825549699999996</v>
      </c>
      <c r="W65" s="51" t="s">
        <v>102</v>
      </c>
      <c r="X65" s="51"/>
      <c r="Y65" s="51"/>
      <c r="Z65" s="51"/>
      <c r="AA65" s="51"/>
      <c r="AB65" s="51"/>
      <c r="AC65" s="51"/>
      <c r="AD65" s="51"/>
    </row>
    <row r="66" spans="1:30" ht="17" customHeight="1" x14ac:dyDescent="0.2">
      <c r="A66" s="53"/>
      <c r="B66" s="47"/>
      <c r="C66">
        <v>9</v>
      </c>
      <c r="D66" s="33">
        <v>1013.7784407</v>
      </c>
      <c r="E66" s="3"/>
      <c r="F66" s="33">
        <v>61.878346000000001</v>
      </c>
      <c r="G66" s="35"/>
      <c r="H66" s="33">
        <v>62.867806299999998</v>
      </c>
      <c r="I66" s="33"/>
      <c r="L66">
        <v>124.3385308</v>
      </c>
      <c r="N66">
        <v>62.329187400000002</v>
      </c>
      <c r="P66">
        <v>77.588893900000002</v>
      </c>
      <c r="X66" s="38" t="s">
        <v>95</v>
      </c>
      <c r="Y66" s="38" t="s">
        <v>96</v>
      </c>
      <c r="Z66" s="38" t="s">
        <v>97</v>
      </c>
      <c r="AA66" s="38" t="s">
        <v>114</v>
      </c>
      <c r="AB66" s="38" t="s">
        <v>103</v>
      </c>
      <c r="AC66" s="38" t="s">
        <v>104</v>
      </c>
      <c r="AD66" s="38" t="s">
        <v>115</v>
      </c>
    </row>
    <row r="67" spans="1:30" ht="16" customHeight="1" x14ac:dyDescent="0.2">
      <c r="A67" s="53"/>
      <c r="B67" s="48"/>
      <c r="C67">
        <v>10</v>
      </c>
      <c r="D67" s="31">
        <v>447.00442120000002</v>
      </c>
      <c r="F67" s="31">
        <v>185.38280499999999</v>
      </c>
      <c r="G67" s="31"/>
      <c r="H67" s="31">
        <v>64.716894199999999</v>
      </c>
      <c r="I67" s="31"/>
      <c r="L67">
        <v>62.1611634</v>
      </c>
      <c r="N67">
        <v>254.94474790000001</v>
      </c>
      <c r="P67">
        <v>79.4372781</v>
      </c>
      <c r="W67" s="37" t="s">
        <v>105</v>
      </c>
      <c r="X67" s="10">
        <f>MEDIAN(D7:D67,L7:L67)</f>
        <v>393.25438110000005</v>
      </c>
      <c r="Y67" s="10">
        <f>MEDIAN(F7:F67,N7:N67)</f>
        <v>194.58409510000001</v>
      </c>
      <c r="Z67" s="10">
        <f>MEDIAN(H7:H67,P7:P67)</f>
        <v>73.235108800000006</v>
      </c>
      <c r="AA67" s="10" t="e">
        <f>MEDIAN(J7:J67,R7:R67)</f>
        <v>#NUM!</v>
      </c>
      <c r="AB67">
        <f>MEDIAN(F74:F134,N74:N134)</f>
        <v>262.68448710000001</v>
      </c>
      <c r="AC67">
        <f>MEDIAN(H74:H134,P74:P134)</f>
        <v>132.92846044999999</v>
      </c>
      <c r="AD67">
        <f>MEDIAN(J74:J134,R74:R134)</f>
        <v>50.875100000000003</v>
      </c>
    </row>
    <row r="68" spans="1:30" ht="16" customHeight="1" x14ac:dyDescent="0.2">
      <c r="A68" s="28"/>
      <c r="B68" s="1"/>
      <c r="W68" s="37" t="s">
        <v>106</v>
      </c>
      <c r="X68" s="10">
        <f>AVERAGE(D7:D67,L7:L67)</f>
        <v>546.31773920583328</v>
      </c>
      <c r="Y68" s="10">
        <f>AVERAGE(F7:F67,N7:N67)</f>
        <v>374.52974976499985</v>
      </c>
      <c r="Z68" s="10">
        <f>AVERAGE(H7:H67,P7:P67)</f>
        <v>96.597025105833339</v>
      </c>
      <c r="AA68" s="10" t="e">
        <f>AVERAGE(J7:J67,R7:R67)</f>
        <v>#DIV/0!</v>
      </c>
      <c r="AB68">
        <f>AVERAGE(F74:F134,N74:N134)</f>
        <v>504.82828081192645</v>
      </c>
      <c r="AC68">
        <f>AVERAGE(H74:H134,P74:P134)</f>
        <v>248.11779057499996</v>
      </c>
      <c r="AD68">
        <f>AVERAGE(J74:J134,R74:R134)</f>
        <v>57.438206666666666</v>
      </c>
    </row>
    <row r="69" spans="1:30" ht="16" customHeight="1" x14ac:dyDescent="0.2">
      <c r="A69" s="28"/>
      <c r="B69" s="1" t="s">
        <v>87</v>
      </c>
      <c r="D69" s="31">
        <f t="shared" ref="D69:F69" si="10">AVERAGE(D7:D67)</f>
        <v>546.26147013000013</v>
      </c>
      <c r="E69" s="31"/>
      <c r="F69" s="31">
        <f t="shared" si="10"/>
        <v>264.37453663499997</v>
      </c>
      <c r="G69" s="31"/>
      <c r="H69" s="31">
        <f>AVERAGE(H7:H67)</f>
        <v>97.33608582833331</v>
      </c>
      <c r="I69" s="31"/>
      <c r="J69" s="31"/>
      <c r="K69" s="31"/>
      <c r="L69" s="31">
        <f t="shared" ref="L69:P69" si="11">AVERAGE(L7:L67)</f>
        <v>546.37400828166676</v>
      </c>
      <c r="M69" s="31"/>
      <c r="N69" s="31">
        <f t="shared" si="11"/>
        <v>484.68496289500018</v>
      </c>
      <c r="O69" s="31"/>
      <c r="P69" s="31">
        <f t="shared" si="11"/>
        <v>95.857964383333311</v>
      </c>
      <c r="Q69" s="31"/>
      <c r="R69" s="31"/>
      <c r="W69" s="37" t="s">
        <v>107</v>
      </c>
      <c r="X69" s="10">
        <f>_xlfn.QUARTILE.EXC((D7:D67,L7:L67),1)</f>
        <v>128.04324550000001</v>
      </c>
      <c r="Y69" s="10">
        <f>_xlfn.QUARTILE.EXC((F7:F67,N7:N67),1)</f>
        <v>70.607067600000008</v>
      </c>
      <c r="Z69" s="10">
        <f>_xlfn.QUARTILE.EXC((H7:H67,P7:P67),1)</f>
        <v>66.105104100000005</v>
      </c>
      <c r="AA69" s="10" t="e">
        <f>_xlfn.QUARTILE.EXC((J7:J67,R7:R67),1)</f>
        <v>#NUM!</v>
      </c>
      <c r="AB69">
        <f>_xlfn.QUARTILE.EXC((F74:F134,N74:N134),1)</f>
        <v>133.60371085</v>
      </c>
      <c r="AC69">
        <f>_xlfn.QUARTILE.EXC((H74:H134,P74:P134),1)</f>
        <v>78.655683824999997</v>
      </c>
      <c r="AD69">
        <f>_xlfn.QUARTILE.EXC((J74:J134,R74:R134),1)</f>
        <v>50.533649999999994</v>
      </c>
    </row>
    <row r="70" spans="1:30" ht="16" customHeight="1" x14ac:dyDescent="0.2">
      <c r="A70" s="28"/>
      <c r="B70" s="1" t="s">
        <v>81</v>
      </c>
      <c r="D70" s="31">
        <f t="shared" ref="D70:F70" si="12">MIN(D7:D67)</f>
        <v>64.404756800000001</v>
      </c>
      <c r="E70" s="31"/>
      <c r="F70" s="31">
        <f t="shared" si="12"/>
        <v>59.023810400000002</v>
      </c>
      <c r="G70" s="31"/>
      <c r="H70" s="31">
        <f>MIN(H7:H67)</f>
        <v>61.305089099999996</v>
      </c>
      <c r="I70" s="31"/>
      <c r="J70" s="31"/>
      <c r="K70" s="31"/>
      <c r="L70" s="31">
        <f t="shared" ref="L70:P70" si="13">MIN(L7:L67)</f>
        <v>62.1611634</v>
      </c>
      <c r="M70" s="31"/>
      <c r="N70" s="31">
        <f t="shared" si="13"/>
        <v>61.419639699999998</v>
      </c>
      <c r="O70" s="31"/>
      <c r="P70" s="31">
        <f t="shared" si="13"/>
        <v>62.552345799999998</v>
      </c>
      <c r="Q70" s="31"/>
      <c r="R70" s="31"/>
      <c r="W70" s="37" t="s">
        <v>108</v>
      </c>
      <c r="X70" s="10">
        <f>_xlfn.QUARTILE.EXC((D7:D67,L7:L67),3)</f>
        <v>847.7565196999999</v>
      </c>
      <c r="Y70" s="10">
        <f>_xlfn.QUARTILE.EXC((F7:F67,N7:N67),3)</f>
        <v>368.582647775</v>
      </c>
      <c r="Z70" s="10">
        <f>_xlfn.QUARTILE.EXC((H7:H67,P7:P67),3)</f>
        <v>84.675873050000007</v>
      </c>
      <c r="AA70" s="10" t="e">
        <f>_xlfn.QUARTILE.EXC((J7:J67,R7:R67),3)</f>
        <v>#NUM!</v>
      </c>
      <c r="AB70">
        <f>_xlfn.QUARTILE.EXC((F74:F134,N74:N134),3)</f>
        <v>667.83910349999996</v>
      </c>
      <c r="AC70">
        <f>_xlfn.QUARTILE.EXC((H74:H134,P74:P134),3)</f>
        <v>284.64135290000002</v>
      </c>
      <c r="AD70">
        <f>_xlfn.QUARTILE.EXC((J74:J134,R74:R134),3)</f>
        <v>51.852874999999997</v>
      </c>
    </row>
    <row r="71" spans="1:30" ht="16" customHeight="1" x14ac:dyDescent="0.2">
      <c r="A71" s="28"/>
      <c r="B71" s="1" t="s">
        <v>82</v>
      </c>
      <c r="D71" s="31">
        <f t="shared" ref="D71:F71" si="14">MAX(D7:D67)</f>
        <v>2074.6347596000001</v>
      </c>
      <c r="E71" s="31"/>
      <c r="F71" s="31">
        <f t="shared" si="14"/>
        <v>932.88624049999999</v>
      </c>
      <c r="G71" s="31"/>
      <c r="H71" s="31">
        <f>MAX(H7:H67)</f>
        <v>452.67738200000002</v>
      </c>
      <c r="I71" s="31"/>
      <c r="J71" s="31"/>
      <c r="K71" s="31"/>
      <c r="L71" s="31">
        <f t="shared" ref="L71:P71" si="15">MAX(L7:L67)</f>
        <v>2702.1846860999999</v>
      </c>
      <c r="M71" s="31"/>
      <c r="N71" s="31">
        <f t="shared" si="15"/>
        <v>7218.0189136999998</v>
      </c>
      <c r="O71" s="31"/>
      <c r="P71" s="31">
        <f t="shared" si="15"/>
        <v>456.90458919999998</v>
      </c>
      <c r="Q71" s="31"/>
      <c r="R71" s="31"/>
      <c r="W71" s="37" t="s">
        <v>109</v>
      </c>
      <c r="X71" s="10">
        <f>X70+1.5*(X70-X69)</f>
        <v>1927.3264309999997</v>
      </c>
      <c r="Y71" s="10">
        <f t="shared" ref="Y71:AB71" si="16">Y70+1.5*(Y70-Y69)</f>
        <v>815.54601803750006</v>
      </c>
      <c r="Z71" s="10">
        <f t="shared" si="16"/>
        <v>112.53202647500001</v>
      </c>
      <c r="AA71" s="10" t="e">
        <f>AA70+1.5*(AA70-AA69)</f>
        <v>#NUM!</v>
      </c>
      <c r="AB71" s="10">
        <f>AB70+1.5*(AB70-AB69)</f>
        <v>1469.192192475</v>
      </c>
      <c r="AC71" s="10">
        <f>AC70+1.5*(AC70-AC69)</f>
        <v>593.61985651250006</v>
      </c>
      <c r="AD71" s="10">
        <f>AD70+1.5*(AD70-AD69)</f>
        <v>53.831712500000002</v>
      </c>
    </row>
    <row r="72" spans="1:30" ht="16" customHeight="1" x14ac:dyDescent="0.2">
      <c r="A72" s="28"/>
      <c r="B72" s="1" t="s">
        <v>83</v>
      </c>
      <c r="D72" s="31">
        <f t="shared" ref="D72:F72" si="17">STDEV(D7:D67)</f>
        <v>436.89147549757564</v>
      </c>
      <c r="E72" s="31"/>
      <c r="F72" s="31">
        <f t="shared" si="17"/>
        <v>242.69754810017969</v>
      </c>
      <c r="G72" s="31"/>
      <c r="H72" s="31">
        <f>STDEV(H7:H67)</f>
        <v>74.776434817048084</v>
      </c>
      <c r="I72" s="31"/>
      <c r="J72" s="31"/>
      <c r="K72" s="31"/>
      <c r="L72" s="31">
        <f t="shared" ref="L72:P72" si="18">STDEV(L7:L67)</f>
        <v>566.58008735947578</v>
      </c>
      <c r="M72" s="31"/>
      <c r="N72" s="31">
        <f t="shared" si="18"/>
        <v>1065.9377509710532</v>
      </c>
      <c r="O72" s="31"/>
      <c r="P72" s="31">
        <f t="shared" si="18"/>
        <v>65.794122050148587</v>
      </c>
      <c r="Q72" s="31"/>
      <c r="R72" s="31"/>
      <c r="W72" s="37" t="s">
        <v>110</v>
      </c>
      <c r="X72" s="10">
        <f>IF(X69-1.5*(X70-X69)&lt;0,0,X69-1.5*(X70-X69))</f>
        <v>0</v>
      </c>
      <c r="Y72" s="10">
        <f t="shared" ref="Y72:AB72" si="19">IF(Y69-1.5*(Y70-Y69)&lt;0,0,Y69-1.5*(Y70-Y69))</f>
        <v>0</v>
      </c>
      <c r="Z72" s="10">
        <f>IF(Z69-1.5*(Z70-Z69)&lt;0,0,Z69-1.5*(Z70-Z69))</f>
        <v>38.248950675000003</v>
      </c>
      <c r="AA72" s="10" t="e">
        <f>IF(AA69-1.5*(AA70-AA69)&lt;0,0,AA69-1.5*(AA70-AA69))</f>
        <v>#NUM!</v>
      </c>
      <c r="AB72" s="10">
        <f>IF(AB69-1.5*(AB70-AB69)&lt;0,0,AB69-1.5*(AB70-AB69))</f>
        <v>0</v>
      </c>
      <c r="AC72" s="10">
        <f>IF(AC69-1.5*(AC70-AC69)&lt;0,0,AC69-1.5*(AC70-AC69))</f>
        <v>0</v>
      </c>
      <c r="AD72" s="10">
        <f>IF(AD69-1.5*(AD70-AD69)&lt;0,0,AD69-1.5*(AD70-AD69))</f>
        <v>48.55481249999999</v>
      </c>
    </row>
    <row r="73" spans="1:30" ht="17" customHeight="1" x14ac:dyDescent="0.2">
      <c r="A73" s="4"/>
    </row>
    <row r="74" spans="1:30" ht="17" customHeight="1" x14ac:dyDescent="0.2">
      <c r="A74" s="52" t="s">
        <v>54</v>
      </c>
      <c r="B74" s="46" t="s">
        <v>11</v>
      </c>
      <c r="C74">
        <v>1</v>
      </c>
      <c r="D74" s="33" t="s">
        <v>88</v>
      </c>
      <c r="E74" s="3"/>
      <c r="F74" s="33">
        <v>517.42081729999995</v>
      </c>
      <c r="G74" s="35"/>
      <c r="H74" s="33">
        <v>66.763275300000004</v>
      </c>
      <c r="I74" s="33"/>
      <c r="J74" s="33">
        <v>53.061100000000003</v>
      </c>
      <c r="L74" s="33" t="s">
        <v>88</v>
      </c>
      <c r="N74">
        <v>3419.3379930999999</v>
      </c>
      <c r="P74">
        <v>284.21020099999998</v>
      </c>
      <c r="R74">
        <v>53.6995</v>
      </c>
    </row>
    <row r="75" spans="1:30" ht="16" x14ac:dyDescent="0.2">
      <c r="A75" s="53"/>
      <c r="B75" s="47"/>
      <c r="C75">
        <v>2</v>
      </c>
      <c r="D75" s="33" t="s">
        <v>88</v>
      </c>
      <c r="E75" s="3"/>
      <c r="F75" s="33">
        <v>828.62391119999995</v>
      </c>
      <c r="G75" s="35"/>
      <c r="H75" s="33">
        <v>64.796429700000004</v>
      </c>
      <c r="I75" s="33"/>
      <c r="J75" s="33">
        <v>50.7117</v>
      </c>
      <c r="L75" s="33" t="s">
        <v>88</v>
      </c>
      <c r="N75" t="s">
        <v>88</v>
      </c>
      <c r="P75">
        <v>269.4879608</v>
      </c>
      <c r="R75">
        <v>50.559399999999997</v>
      </c>
    </row>
    <row r="76" spans="1:30" ht="16" x14ac:dyDescent="0.2">
      <c r="A76" s="53"/>
      <c r="B76" s="47"/>
      <c r="C76">
        <v>3</v>
      </c>
      <c r="D76" s="33" t="s">
        <v>88</v>
      </c>
      <c r="E76" s="3"/>
      <c r="F76" s="33">
        <v>839.70520409999995</v>
      </c>
      <c r="G76" s="35"/>
      <c r="H76" s="33">
        <v>143.70110059999999</v>
      </c>
      <c r="I76" s="33"/>
      <c r="J76" s="33">
        <v>51.131300000000003</v>
      </c>
      <c r="L76" s="33" t="s">
        <v>88</v>
      </c>
      <c r="N76" t="s">
        <v>88</v>
      </c>
      <c r="P76">
        <v>734.02437339999994</v>
      </c>
      <c r="R76">
        <v>102.2818</v>
      </c>
    </row>
    <row r="77" spans="1:30" ht="16" x14ac:dyDescent="0.2">
      <c r="A77" s="53"/>
      <c r="B77" s="47"/>
      <c r="C77">
        <v>4</v>
      </c>
      <c r="D77" s="33" t="s">
        <v>88</v>
      </c>
      <c r="E77" s="3"/>
      <c r="F77" s="33">
        <v>646.53386990000001</v>
      </c>
      <c r="G77" s="35"/>
      <c r="H77" s="33">
        <v>275.11039959999999</v>
      </c>
      <c r="I77" s="33"/>
      <c r="J77" s="90">
        <v>353.98700000000002</v>
      </c>
      <c r="L77" s="33" t="s">
        <v>88</v>
      </c>
      <c r="N77">
        <v>1116.3597103</v>
      </c>
      <c r="P77">
        <v>1531.9837926</v>
      </c>
      <c r="R77">
        <v>50.771599999999999</v>
      </c>
    </row>
    <row r="78" spans="1:30" ht="16" x14ac:dyDescent="0.2">
      <c r="A78" s="53"/>
      <c r="B78" s="47"/>
      <c r="C78">
        <v>5</v>
      </c>
      <c r="D78" s="33" t="s">
        <v>88</v>
      </c>
      <c r="E78" s="3"/>
      <c r="F78" s="33">
        <v>1160.6491530000001</v>
      </c>
      <c r="G78" s="35"/>
      <c r="H78" s="33">
        <v>135.82408670000001</v>
      </c>
      <c r="I78" s="33"/>
      <c r="J78" s="33">
        <v>50.622300000000003</v>
      </c>
      <c r="L78" s="33" t="s">
        <v>88</v>
      </c>
      <c r="N78" t="s">
        <v>88</v>
      </c>
      <c r="P78">
        <v>66.381577199999995</v>
      </c>
      <c r="R78" s="83">
        <v>50.402000000000001</v>
      </c>
    </row>
    <row r="79" spans="1:30" ht="16" x14ac:dyDescent="0.2">
      <c r="A79" s="53"/>
      <c r="B79" s="47"/>
      <c r="C79">
        <v>6</v>
      </c>
      <c r="D79" s="33" t="s">
        <v>88</v>
      </c>
      <c r="E79" s="3"/>
      <c r="F79" s="33">
        <v>644.30637730000001</v>
      </c>
      <c r="G79" s="35"/>
      <c r="H79" s="33">
        <v>478.77884940000001</v>
      </c>
      <c r="I79" s="33"/>
      <c r="J79" s="33">
        <v>50.330599999999997</v>
      </c>
      <c r="L79" s="33" t="s">
        <v>88</v>
      </c>
      <c r="N79">
        <v>2291.4962295999999</v>
      </c>
      <c r="P79">
        <v>132.72599790000001</v>
      </c>
      <c r="R79">
        <v>50.2241</v>
      </c>
    </row>
    <row r="80" spans="1:30" ht="17" customHeight="1" x14ac:dyDescent="0.2">
      <c r="A80" s="53"/>
      <c r="B80" s="47"/>
      <c r="C80">
        <v>7</v>
      </c>
      <c r="D80" s="33" t="s">
        <v>88</v>
      </c>
      <c r="E80" s="3"/>
      <c r="F80" s="33">
        <v>1159.1465363</v>
      </c>
      <c r="G80" s="35"/>
      <c r="H80" s="33">
        <v>411.42527480000001</v>
      </c>
      <c r="I80" s="33"/>
      <c r="J80" s="33">
        <v>50.485700000000001</v>
      </c>
      <c r="L80" s="33" t="s">
        <v>88</v>
      </c>
      <c r="N80" t="s">
        <v>88</v>
      </c>
      <c r="P80">
        <v>2129.4957175999998</v>
      </c>
      <c r="R80">
        <v>100.97629999999999</v>
      </c>
    </row>
    <row r="81" spans="1:18" ht="17" customHeight="1" x14ac:dyDescent="0.2">
      <c r="A81" s="53"/>
      <c r="B81" s="47"/>
      <c r="C81">
        <v>8</v>
      </c>
      <c r="D81" s="33" t="s">
        <v>88</v>
      </c>
      <c r="E81" s="3"/>
      <c r="F81" s="33">
        <v>972.20608219999997</v>
      </c>
      <c r="G81" s="35"/>
      <c r="H81" s="33">
        <v>136.67672809999999</v>
      </c>
      <c r="I81" s="33"/>
      <c r="J81" s="33">
        <v>100.5929</v>
      </c>
      <c r="L81" s="33" t="s">
        <v>88</v>
      </c>
      <c r="N81" t="s">
        <v>88</v>
      </c>
      <c r="P81">
        <v>132.93145910000001</v>
      </c>
      <c r="R81">
        <v>100.8334</v>
      </c>
    </row>
    <row r="82" spans="1:18" ht="17" customHeight="1" x14ac:dyDescent="0.2">
      <c r="A82" s="53"/>
      <c r="B82" s="47"/>
      <c r="C82">
        <v>9</v>
      </c>
      <c r="D82" s="33" t="s">
        <v>88</v>
      </c>
      <c r="E82" s="3"/>
      <c r="F82" s="33">
        <v>1094.5519810999999</v>
      </c>
      <c r="G82" s="35"/>
      <c r="H82" s="33">
        <v>68.646983199999994</v>
      </c>
      <c r="I82" s="33"/>
      <c r="J82" s="33">
        <v>50.373600000000003</v>
      </c>
      <c r="L82" s="33" t="s">
        <v>88</v>
      </c>
      <c r="N82" t="s">
        <v>88</v>
      </c>
      <c r="P82">
        <v>66.191384099999993</v>
      </c>
      <c r="R82">
        <v>50.533499999999997</v>
      </c>
    </row>
    <row r="83" spans="1:18" ht="15" customHeight="1" x14ac:dyDescent="0.2">
      <c r="A83" s="53"/>
      <c r="B83" s="48"/>
      <c r="C83">
        <v>10</v>
      </c>
      <c r="D83" s="33" t="s">
        <v>88</v>
      </c>
      <c r="F83" s="31">
        <v>2121.7283336999999</v>
      </c>
      <c r="G83" s="31"/>
      <c r="H83" s="31">
        <v>204.3538739</v>
      </c>
      <c r="I83" s="31"/>
      <c r="J83" s="31">
        <v>50.584400000000002</v>
      </c>
      <c r="L83" s="33" t="s">
        <v>88</v>
      </c>
      <c r="N83">
        <v>866.2734921</v>
      </c>
      <c r="P83">
        <v>65.962567100000001</v>
      </c>
      <c r="R83">
        <v>50.620800000000003</v>
      </c>
    </row>
    <row r="84" spans="1:18" ht="16" x14ac:dyDescent="0.2">
      <c r="A84" s="53"/>
      <c r="B84" s="46" t="s">
        <v>86</v>
      </c>
      <c r="C84">
        <v>1</v>
      </c>
      <c r="D84" s="33" t="s">
        <v>88</v>
      </c>
      <c r="E84" s="3"/>
      <c r="F84" s="33">
        <v>1533.9926554000001</v>
      </c>
      <c r="G84" s="35"/>
      <c r="H84" s="33">
        <v>233.3466028</v>
      </c>
      <c r="I84" s="33"/>
      <c r="J84" s="33">
        <v>52.639200000000002</v>
      </c>
      <c r="L84" s="33" t="s">
        <v>88</v>
      </c>
      <c r="N84" t="s">
        <v>88</v>
      </c>
      <c r="P84">
        <v>277.75115970000002</v>
      </c>
      <c r="R84">
        <v>53.482700000000001</v>
      </c>
    </row>
    <row r="85" spans="1:18" ht="16" x14ac:dyDescent="0.2">
      <c r="A85" s="53"/>
      <c r="B85" s="47"/>
      <c r="C85">
        <v>2</v>
      </c>
      <c r="D85" s="33" t="s">
        <v>88</v>
      </c>
      <c r="E85" s="3"/>
      <c r="F85" s="33">
        <v>666.76546989999997</v>
      </c>
      <c r="G85" s="35"/>
      <c r="H85" s="33">
        <v>293.3295832</v>
      </c>
      <c r="I85" s="33"/>
      <c r="J85" s="33">
        <v>51.4953</v>
      </c>
      <c r="L85" s="33" t="s">
        <v>88</v>
      </c>
      <c r="N85">
        <v>1537.7299883000001</v>
      </c>
      <c r="P85">
        <v>134.52035739999999</v>
      </c>
      <c r="R85">
        <v>50.421500000000002</v>
      </c>
    </row>
    <row r="86" spans="1:18" ht="16" x14ac:dyDescent="0.2">
      <c r="A86" s="53"/>
      <c r="B86" s="47"/>
      <c r="C86">
        <v>3</v>
      </c>
      <c r="D86" s="33" t="s">
        <v>88</v>
      </c>
      <c r="E86" s="3"/>
      <c r="F86" s="33">
        <v>1266.7525811999999</v>
      </c>
      <c r="G86" s="35"/>
      <c r="H86" s="33">
        <v>221.75517379999999</v>
      </c>
      <c r="I86" s="33"/>
      <c r="J86" s="33">
        <v>50.7624</v>
      </c>
      <c r="L86" s="33" t="s">
        <v>88</v>
      </c>
      <c r="N86">
        <v>480.55343540000001</v>
      </c>
      <c r="P86">
        <v>340.43719440000001</v>
      </c>
      <c r="R86">
        <v>50.620399999999997</v>
      </c>
    </row>
    <row r="87" spans="1:18" ht="16" x14ac:dyDescent="0.2">
      <c r="A87" s="53"/>
      <c r="B87" s="47"/>
      <c r="C87">
        <v>4</v>
      </c>
      <c r="D87" s="33" t="s">
        <v>88</v>
      </c>
      <c r="E87" s="3"/>
      <c r="F87" s="33">
        <v>1402.7252778</v>
      </c>
      <c r="G87" s="35"/>
      <c r="H87" s="33">
        <v>78.798304700000003</v>
      </c>
      <c r="I87" s="33"/>
      <c r="J87" s="33">
        <v>50.907299999999999</v>
      </c>
      <c r="L87" s="33" t="s">
        <v>88</v>
      </c>
      <c r="N87" t="s">
        <v>88</v>
      </c>
      <c r="P87">
        <v>350.21360909999999</v>
      </c>
      <c r="R87">
        <v>50.913800000000002</v>
      </c>
    </row>
    <row r="88" spans="1:18" ht="16" x14ac:dyDescent="0.2">
      <c r="A88" s="53"/>
      <c r="B88" s="47"/>
      <c r="C88">
        <v>5</v>
      </c>
      <c r="D88" s="33" t="s">
        <v>88</v>
      </c>
      <c r="E88" s="3"/>
      <c r="F88" s="33">
        <v>668.91273709999996</v>
      </c>
      <c r="G88" s="35"/>
      <c r="H88" s="33">
        <v>767.51336170000002</v>
      </c>
      <c r="I88" s="33"/>
      <c r="J88" s="33">
        <v>50.641100000000002</v>
      </c>
      <c r="L88" s="33" t="s">
        <v>88</v>
      </c>
      <c r="N88">
        <v>1113.2449271999999</v>
      </c>
      <c r="P88">
        <v>275.05557240000002</v>
      </c>
      <c r="R88">
        <v>51.726799999999997</v>
      </c>
    </row>
    <row r="89" spans="1:18" ht="16" x14ac:dyDescent="0.2">
      <c r="A89" s="53"/>
      <c r="B89" s="47"/>
      <c r="C89">
        <v>6</v>
      </c>
      <c r="D89" s="33" t="s">
        <v>88</v>
      </c>
      <c r="E89" s="3"/>
      <c r="F89" s="33">
        <v>2543.6004963999999</v>
      </c>
      <c r="G89" s="35"/>
      <c r="H89" s="33">
        <v>73.746508800000001</v>
      </c>
      <c r="I89" s="33"/>
      <c r="J89" s="90">
        <v>50.674999999999997</v>
      </c>
      <c r="L89" s="33" t="s">
        <v>88</v>
      </c>
      <c r="N89" t="s">
        <v>88</v>
      </c>
      <c r="P89">
        <v>204.8521217</v>
      </c>
      <c r="R89">
        <v>51.264200000000002</v>
      </c>
    </row>
    <row r="90" spans="1:18" ht="17" customHeight="1" x14ac:dyDescent="0.2">
      <c r="A90" s="53"/>
      <c r="B90" s="47"/>
      <c r="C90">
        <v>7</v>
      </c>
      <c r="D90" s="33" t="s">
        <v>88</v>
      </c>
      <c r="E90" s="3"/>
      <c r="F90" s="33">
        <v>1073.9900491000001</v>
      </c>
      <c r="G90" s="35"/>
      <c r="H90" s="33">
        <v>148.5537539</v>
      </c>
      <c r="I90" s="33"/>
      <c r="J90" s="33">
        <v>50.398600000000002</v>
      </c>
      <c r="L90" s="33" t="s">
        <v>88</v>
      </c>
      <c r="N90" t="s">
        <v>88</v>
      </c>
      <c r="P90">
        <v>481.83748580000002</v>
      </c>
      <c r="R90">
        <v>50.277099999999997</v>
      </c>
    </row>
    <row r="91" spans="1:18" ht="17" customHeight="1" x14ac:dyDescent="0.2">
      <c r="A91" s="53"/>
      <c r="B91" s="47"/>
      <c r="C91">
        <v>8</v>
      </c>
      <c r="D91" s="33" t="s">
        <v>88</v>
      </c>
      <c r="E91" s="3"/>
      <c r="F91" s="33">
        <v>1878.5796387</v>
      </c>
      <c r="G91" s="35"/>
      <c r="H91" s="33">
        <v>153.4032641</v>
      </c>
      <c r="I91" s="33"/>
      <c r="J91" s="33">
        <v>50.822200000000002</v>
      </c>
      <c r="L91" s="33" t="s">
        <v>88</v>
      </c>
      <c r="N91">
        <v>1434.7723593999999</v>
      </c>
      <c r="P91">
        <v>560.53439649999996</v>
      </c>
      <c r="R91">
        <v>50.418300000000002</v>
      </c>
    </row>
    <row r="92" spans="1:18" ht="17" customHeight="1" x14ac:dyDescent="0.2">
      <c r="A92" s="53"/>
      <c r="B92" s="47"/>
      <c r="C92">
        <v>9</v>
      </c>
      <c r="D92" s="33" t="s">
        <v>88</v>
      </c>
      <c r="E92" s="3"/>
      <c r="F92" s="33">
        <v>871.03407330000005</v>
      </c>
      <c r="G92" s="35"/>
      <c r="H92" s="33">
        <v>83.474116499999994</v>
      </c>
      <c r="I92" s="33"/>
      <c r="J92" s="33">
        <v>50.892499999999998</v>
      </c>
      <c r="L92" s="33" t="s">
        <v>88</v>
      </c>
      <c r="N92" t="s">
        <v>88</v>
      </c>
      <c r="P92">
        <v>284.78507020000001</v>
      </c>
      <c r="R92">
        <v>50.322800000000001</v>
      </c>
    </row>
    <row r="93" spans="1:18" ht="16" customHeight="1" x14ac:dyDescent="0.2">
      <c r="A93" s="53"/>
      <c r="B93" s="48"/>
      <c r="C93">
        <v>10</v>
      </c>
      <c r="D93" s="33" t="s">
        <v>88</v>
      </c>
      <c r="F93" s="31">
        <v>1138.8194324999999</v>
      </c>
      <c r="G93" s="31"/>
      <c r="H93" s="31">
        <v>286.33039719999999</v>
      </c>
      <c r="I93" s="31"/>
      <c r="J93" s="31">
        <v>50.554600000000001</v>
      </c>
      <c r="L93" s="33" t="s">
        <v>88</v>
      </c>
      <c r="N93">
        <v>1500.9513285</v>
      </c>
      <c r="P93">
        <v>82.148705500000005</v>
      </c>
      <c r="R93">
        <v>50.313200000000002</v>
      </c>
    </row>
    <row r="94" spans="1:18" ht="16" x14ac:dyDescent="0.2">
      <c r="A94" s="53"/>
      <c r="B94" s="46" t="s">
        <v>27</v>
      </c>
      <c r="C94">
        <v>1</v>
      </c>
      <c r="D94" s="33" t="s">
        <v>88</v>
      </c>
      <c r="E94" s="3"/>
      <c r="F94" s="33">
        <v>70.503369199999995</v>
      </c>
      <c r="G94" s="35"/>
      <c r="H94" s="33">
        <v>792.71955839999998</v>
      </c>
      <c r="I94" s="33"/>
      <c r="J94" s="33">
        <v>53.315600000000003</v>
      </c>
      <c r="L94" s="33" t="s">
        <v>88</v>
      </c>
      <c r="N94">
        <v>142.45123580000001</v>
      </c>
      <c r="P94">
        <v>72.897619000000006</v>
      </c>
      <c r="R94">
        <v>52.554699999999997</v>
      </c>
    </row>
    <row r="95" spans="1:18" ht="16" x14ac:dyDescent="0.2">
      <c r="A95" s="53"/>
      <c r="B95" s="47"/>
      <c r="C95">
        <v>2</v>
      </c>
      <c r="D95" s="33" t="s">
        <v>88</v>
      </c>
      <c r="E95" s="3"/>
      <c r="F95" s="33">
        <v>193.48719919999999</v>
      </c>
      <c r="G95" s="35"/>
      <c r="H95" s="33">
        <v>66.452325099999996</v>
      </c>
      <c r="I95" s="33"/>
      <c r="J95" s="33">
        <v>51.974699999999999</v>
      </c>
      <c r="L95" s="33" t="s">
        <v>88</v>
      </c>
      <c r="N95">
        <v>71.119555300000002</v>
      </c>
      <c r="P95">
        <v>282.90778799999998</v>
      </c>
      <c r="R95">
        <v>50.7592</v>
      </c>
    </row>
    <row r="96" spans="1:18" ht="16" x14ac:dyDescent="0.2">
      <c r="A96" s="53"/>
      <c r="B96" s="47"/>
      <c r="C96">
        <v>3</v>
      </c>
      <c r="D96" s="33" t="s">
        <v>88</v>
      </c>
      <c r="E96" s="3"/>
      <c r="F96" s="33">
        <v>451.81646790000002</v>
      </c>
      <c r="G96" s="35"/>
      <c r="H96" s="33">
        <v>66.909788599999999</v>
      </c>
      <c r="I96" s="33"/>
      <c r="J96" s="33">
        <v>51.908200000000001</v>
      </c>
      <c r="L96" s="33" t="s">
        <v>88</v>
      </c>
      <c r="N96">
        <v>70.831908999999996</v>
      </c>
      <c r="P96">
        <v>142.34365790000001</v>
      </c>
      <c r="R96">
        <v>51.112900000000003</v>
      </c>
    </row>
    <row r="97" spans="1:18" ht="16" x14ac:dyDescent="0.2">
      <c r="A97" s="53"/>
      <c r="B97" s="47"/>
      <c r="C97">
        <v>4</v>
      </c>
      <c r="D97" s="33" t="s">
        <v>88</v>
      </c>
      <c r="E97" s="3"/>
      <c r="F97" s="33">
        <v>262.68448710000001</v>
      </c>
      <c r="G97" s="35"/>
      <c r="H97" s="33">
        <v>67.079431900000003</v>
      </c>
      <c r="I97" s="33"/>
      <c r="J97" s="33">
        <v>51.871200000000002</v>
      </c>
      <c r="L97" s="33" t="s">
        <v>88</v>
      </c>
      <c r="N97">
        <v>71.067789500000003</v>
      </c>
      <c r="P97">
        <v>141.33162870000001</v>
      </c>
      <c r="R97">
        <v>50.479100000000003</v>
      </c>
    </row>
    <row r="98" spans="1:18" ht="16" x14ac:dyDescent="0.2">
      <c r="A98" s="53"/>
      <c r="B98" s="47"/>
      <c r="C98">
        <v>5</v>
      </c>
      <c r="D98" s="33" t="s">
        <v>88</v>
      </c>
      <c r="E98" s="3"/>
      <c r="F98" s="33">
        <v>790.79874329999996</v>
      </c>
      <c r="G98" s="35"/>
      <c r="H98" s="33">
        <v>66.137360299999997</v>
      </c>
      <c r="I98" s="33"/>
      <c r="J98" s="33">
        <v>51.906199999999998</v>
      </c>
      <c r="L98" s="33" t="s">
        <v>88</v>
      </c>
      <c r="N98">
        <v>140.45656829999999</v>
      </c>
      <c r="P98">
        <v>282.32531840000001</v>
      </c>
      <c r="R98">
        <v>51.470300000000002</v>
      </c>
    </row>
    <row r="99" spans="1:18" ht="16" x14ac:dyDescent="0.2">
      <c r="A99" s="53"/>
      <c r="B99" s="47"/>
      <c r="C99">
        <v>6</v>
      </c>
      <c r="D99" s="33" t="s">
        <v>88</v>
      </c>
      <c r="E99" s="3"/>
      <c r="F99" s="33">
        <v>66.563387000000006</v>
      </c>
      <c r="G99" s="35"/>
      <c r="H99" s="33">
        <v>65.576798600000004</v>
      </c>
      <c r="I99" s="33"/>
      <c r="J99" s="33">
        <v>51.8705</v>
      </c>
      <c r="L99" s="33" t="s">
        <v>88</v>
      </c>
      <c r="N99">
        <v>71.386210399999996</v>
      </c>
      <c r="P99">
        <v>70.631985299999997</v>
      </c>
      <c r="R99">
        <v>50.5839</v>
      </c>
    </row>
    <row r="100" spans="1:18" ht="17" customHeight="1" x14ac:dyDescent="0.2">
      <c r="A100" s="53"/>
      <c r="B100" s="47"/>
      <c r="C100">
        <v>7</v>
      </c>
      <c r="D100" s="33" t="s">
        <v>88</v>
      </c>
      <c r="E100" s="3"/>
      <c r="F100" s="33">
        <v>65.912538699999999</v>
      </c>
      <c r="G100" s="35"/>
      <c r="H100" s="33">
        <v>65.720580600000005</v>
      </c>
      <c r="I100" s="33"/>
      <c r="J100" s="33">
        <v>52.648800000000001</v>
      </c>
      <c r="L100" s="33" t="s">
        <v>88</v>
      </c>
      <c r="N100">
        <v>70.090210400000004</v>
      </c>
      <c r="P100">
        <v>70.4665933</v>
      </c>
      <c r="R100">
        <v>50.473300000000002</v>
      </c>
    </row>
    <row r="101" spans="1:18" ht="17" customHeight="1" x14ac:dyDescent="0.2">
      <c r="A101" s="53"/>
      <c r="B101" s="47"/>
      <c r="C101">
        <v>8</v>
      </c>
      <c r="D101" s="33" t="s">
        <v>88</v>
      </c>
      <c r="E101" s="3"/>
      <c r="F101" s="33">
        <v>65.771074299999995</v>
      </c>
      <c r="G101" s="35"/>
      <c r="H101" s="33">
        <v>130.2536542</v>
      </c>
      <c r="I101" s="33"/>
      <c r="J101" s="33">
        <v>52.612299999999998</v>
      </c>
      <c r="L101" s="33" t="s">
        <v>88</v>
      </c>
      <c r="N101">
        <v>69.581791999999993</v>
      </c>
      <c r="P101">
        <v>284.09153300000003</v>
      </c>
      <c r="R101" s="83">
        <v>50.481000000000002</v>
      </c>
    </row>
    <row r="102" spans="1:18" ht="17" customHeight="1" x14ac:dyDescent="0.2">
      <c r="A102" s="53"/>
      <c r="B102" s="47"/>
      <c r="C102">
        <v>9</v>
      </c>
      <c r="D102" s="33" t="s">
        <v>88</v>
      </c>
      <c r="E102" s="3"/>
      <c r="F102" s="33">
        <v>66.433219699999995</v>
      </c>
      <c r="G102" s="35"/>
      <c r="H102" s="33">
        <v>65.525855399999998</v>
      </c>
      <c r="I102" s="33"/>
      <c r="J102" s="33">
        <v>52.011200000000002</v>
      </c>
      <c r="L102" s="33" t="s">
        <v>88</v>
      </c>
      <c r="N102">
        <v>142.3687774</v>
      </c>
      <c r="P102">
        <v>68.542201000000006</v>
      </c>
      <c r="R102">
        <v>50.660200000000003</v>
      </c>
    </row>
    <row r="103" spans="1:18" ht="16" customHeight="1" x14ac:dyDescent="0.2">
      <c r="A103" s="53"/>
      <c r="B103" s="48"/>
      <c r="C103">
        <v>10</v>
      </c>
      <c r="D103" s="33" t="s">
        <v>88</v>
      </c>
      <c r="F103" s="31">
        <v>415.47020250000003</v>
      </c>
      <c r="G103" s="31"/>
      <c r="H103" s="31">
        <v>130.14358279999999</v>
      </c>
      <c r="I103" s="31"/>
      <c r="J103" s="31">
        <v>52.137500000000003</v>
      </c>
      <c r="L103" s="33" t="s">
        <v>88</v>
      </c>
      <c r="N103">
        <v>493.20489029999999</v>
      </c>
      <c r="P103">
        <v>69.565183899999994</v>
      </c>
      <c r="R103">
        <v>50.861699999999999</v>
      </c>
    </row>
    <row r="104" spans="1:18" ht="16" customHeight="1" x14ac:dyDescent="0.2">
      <c r="A104" s="53"/>
      <c r="F104" s="31"/>
      <c r="G104" s="31"/>
      <c r="H104" s="31"/>
      <c r="I104" s="31"/>
      <c r="J104" s="31"/>
    </row>
    <row r="105" spans="1:18" ht="16" x14ac:dyDescent="0.2">
      <c r="A105" s="53"/>
      <c r="B105" s="46" t="s">
        <v>33</v>
      </c>
      <c r="C105">
        <v>1</v>
      </c>
      <c r="D105" s="33" t="s">
        <v>88</v>
      </c>
      <c r="E105" s="3"/>
      <c r="F105" s="33">
        <v>67.417478500000001</v>
      </c>
      <c r="G105" s="35"/>
      <c r="H105" s="33">
        <v>802.76437429999999</v>
      </c>
      <c r="I105" s="33"/>
      <c r="J105" s="33">
        <v>52.943399999999997</v>
      </c>
      <c r="L105" s="33" t="s">
        <v>88</v>
      </c>
      <c r="N105">
        <v>431.44677050000001</v>
      </c>
      <c r="P105">
        <v>491.76410010000001</v>
      </c>
      <c r="R105" s="83">
        <v>51.8</v>
      </c>
    </row>
    <row r="106" spans="1:18" ht="16" x14ac:dyDescent="0.2">
      <c r="A106" s="53"/>
      <c r="B106" s="47"/>
      <c r="C106">
        <v>2</v>
      </c>
      <c r="D106" s="33" t="s">
        <v>88</v>
      </c>
      <c r="E106" s="3"/>
      <c r="F106" s="33">
        <v>64.483929500000002</v>
      </c>
      <c r="G106" s="35"/>
      <c r="H106" s="33">
        <v>326.89859630000001</v>
      </c>
      <c r="I106" s="33"/>
      <c r="J106" s="33">
        <v>52.3489</v>
      </c>
      <c r="L106" s="33" t="s">
        <v>88</v>
      </c>
      <c r="N106">
        <v>80.275543099999993</v>
      </c>
      <c r="P106">
        <v>232.53405960000001</v>
      </c>
      <c r="R106" s="83">
        <v>50.033000000000001</v>
      </c>
    </row>
    <row r="107" spans="1:18" ht="16" x14ac:dyDescent="0.2">
      <c r="A107" s="53"/>
      <c r="B107" s="47"/>
      <c r="C107">
        <v>3</v>
      </c>
      <c r="D107" s="33" t="s">
        <v>88</v>
      </c>
      <c r="E107" s="3"/>
      <c r="F107" s="33">
        <v>457.96795909999997</v>
      </c>
      <c r="G107" s="35"/>
      <c r="H107" s="33">
        <v>64.922921500000001</v>
      </c>
      <c r="I107" s="33"/>
      <c r="J107" s="33">
        <v>51.193800000000003</v>
      </c>
      <c r="L107" s="33" t="s">
        <v>88</v>
      </c>
      <c r="N107">
        <v>162.89621389999999</v>
      </c>
      <c r="P107">
        <v>605.2249865</v>
      </c>
      <c r="R107">
        <v>50.224200000000003</v>
      </c>
    </row>
    <row r="108" spans="1:18" ht="16" x14ac:dyDescent="0.2">
      <c r="A108" s="53"/>
      <c r="B108" s="47"/>
      <c r="C108">
        <v>4</v>
      </c>
      <c r="D108" s="33" t="s">
        <v>88</v>
      </c>
      <c r="E108" s="3"/>
      <c r="F108" s="33">
        <v>194.75641730000001</v>
      </c>
      <c r="G108" s="35"/>
      <c r="H108" s="33">
        <v>971.69256729999995</v>
      </c>
      <c r="I108" s="33"/>
      <c r="J108" s="90">
        <v>51.485999999999997</v>
      </c>
      <c r="L108" s="33" t="s">
        <v>88</v>
      </c>
      <c r="N108">
        <v>490.99147099999999</v>
      </c>
      <c r="P108">
        <v>199.2026663</v>
      </c>
      <c r="R108">
        <v>50.607199999999999</v>
      </c>
    </row>
    <row r="109" spans="1:18" ht="16" x14ac:dyDescent="0.2">
      <c r="A109" s="53"/>
      <c r="B109" s="47"/>
      <c r="C109">
        <v>5</v>
      </c>
      <c r="D109" s="33" t="s">
        <v>88</v>
      </c>
      <c r="E109" s="3"/>
      <c r="F109" s="33">
        <v>248.89830699999999</v>
      </c>
      <c r="G109" s="35"/>
      <c r="H109" s="33">
        <v>529.6448001</v>
      </c>
      <c r="I109" s="33"/>
      <c r="J109" s="33">
        <v>50.762099999999997</v>
      </c>
      <c r="L109" s="33" t="s">
        <v>88</v>
      </c>
      <c r="N109">
        <v>211.0026641</v>
      </c>
      <c r="P109">
        <v>930.15459169999997</v>
      </c>
      <c r="R109">
        <v>50.477699999999999</v>
      </c>
    </row>
    <row r="110" spans="1:18" ht="16" x14ac:dyDescent="0.2">
      <c r="A110" s="53"/>
      <c r="B110" s="47"/>
      <c r="C110">
        <v>6</v>
      </c>
      <c r="D110" s="33" t="s">
        <v>88</v>
      </c>
      <c r="E110" s="3"/>
      <c r="F110" s="33">
        <v>346.79842250000002</v>
      </c>
      <c r="G110" s="35"/>
      <c r="H110" s="33">
        <v>145.6007726</v>
      </c>
      <c r="I110" s="33"/>
      <c r="J110" s="90">
        <v>51.104999999999997</v>
      </c>
      <c r="L110" s="33" t="s">
        <v>88</v>
      </c>
      <c r="N110">
        <v>139.85866469999999</v>
      </c>
      <c r="P110">
        <v>532.86005709999995</v>
      </c>
      <c r="R110">
        <v>50.447800000000001</v>
      </c>
    </row>
    <row r="111" spans="1:18" ht="17" customHeight="1" x14ac:dyDescent="0.2">
      <c r="A111" s="53"/>
      <c r="B111" s="47"/>
      <c r="C111">
        <v>7</v>
      </c>
      <c r="D111" s="33" t="s">
        <v>88</v>
      </c>
      <c r="E111" s="3"/>
      <c r="F111" s="33">
        <v>131.22883899999999</v>
      </c>
      <c r="G111" s="35"/>
      <c r="H111" s="33">
        <v>535.69973249999998</v>
      </c>
      <c r="I111" s="33"/>
      <c r="J111" s="33">
        <v>50.825499999999998</v>
      </c>
      <c r="L111" s="33" t="s">
        <v>88</v>
      </c>
      <c r="N111">
        <v>69.583251700000005</v>
      </c>
      <c r="P111">
        <v>464.14077909999997</v>
      </c>
      <c r="R111">
        <v>100.14409999999999</v>
      </c>
    </row>
    <row r="112" spans="1:18" ht="17" customHeight="1" x14ac:dyDescent="0.2">
      <c r="A112" s="53"/>
      <c r="B112" s="47"/>
      <c r="C112">
        <v>8</v>
      </c>
      <c r="D112" s="33" t="s">
        <v>88</v>
      </c>
      <c r="E112" s="3"/>
      <c r="F112" s="33">
        <v>545.50836460000005</v>
      </c>
      <c r="G112" s="35"/>
      <c r="H112" s="33">
        <v>524.29981559999999</v>
      </c>
      <c r="I112" s="33"/>
      <c r="J112" s="33">
        <v>50.878300000000003</v>
      </c>
      <c r="L112" s="33" t="s">
        <v>88</v>
      </c>
      <c r="N112">
        <v>275.00340569999997</v>
      </c>
      <c r="P112">
        <v>530.75148639999998</v>
      </c>
      <c r="R112">
        <v>50.356200000000001</v>
      </c>
    </row>
    <row r="113" spans="1:18" ht="17" customHeight="1" x14ac:dyDescent="0.2">
      <c r="A113" s="53"/>
      <c r="B113" s="47"/>
      <c r="C113">
        <v>9</v>
      </c>
      <c r="D113" s="33" t="s">
        <v>88</v>
      </c>
      <c r="E113" s="3"/>
      <c r="F113" s="33">
        <v>350.91166029999999</v>
      </c>
      <c r="G113" s="35"/>
      <c r="H113" s="33">
        <v>780.2396066</v>
      </c>
      <c r="I113" s="33"/>
      <c r="J113" s="91">
        <v>251.42080000000001</v>
      </c>
      <c r="L113" s="33" t="s">
        <v>88</v>
      </c>
      <c r="N113">
        <v>137.27711629999999</v>
      </c>
      <c r="P113">
        <v>794.70245620000003</v>
      </c>
      <c r="R113">
        <v>49.9163</v>
      </c>
    </row>
    <row r="114" spans="1:18" ht="16" customHeight="1" x14ac:dyDescent="0.2">
      <c r="A114" s="53"/>
      <c r="B114" s="48"/>
      <c r="C114">
        <v>10</v>
      </c>
      <c r="D114" s="33" t="s">
        <v>88</v>
      </c>
      <c r="F114" s="31">
        <v>466.80445570000001</v>
      </c>
      <c r="G114" s="31"/>
      <c r="H114" s="31">
        <v>65.373191199999994</v>
      </c>
      <c r="I114" s="31"/>
      <c r="J114" s="31">
        <v>50.256300000000003</v>
      </c>
      <c r="L114" s="33" t="s">
        <v>88</v>
      </c>
      <c r="N114">
        <v>69.129179500000006</v>
      </c>
      <c r="P114">
        <v>132.92546179999999</v>
      </c>
      <c r="R114">
        <v>50.026600000000002</v>
      </c>
    </row>
    <row r="115" spans="1:18" ht="16" x14ac:dyDescent="0.2">
      <c r="A115" s="53"/>
      <c r="B115" s="46" t="s">
        <v>42</v>
      </c>
      <c r="C115">
        <v>1</v>
      </c>
      <c r="D115" s="33" t="s">
        <v>88</v>
      </c>
      <c r="E115" s="3"/>
      <c r="F115" s="33">
        <v>203.31703279999999</v>
      </c>
      <c r="G115" s="35"/>
      <c r="H115" s="33">
        <v>86.674660399999993</v>
      </c>
      <c r="I115" s="33"/>
      <c r="J115" s="90">
        <v>52.41</v>
      </c>
      <c r="L115" s="33" t="s">
        <v>88</v>
      </c>
      <c r="N115">
        <v>75.366843200000005</v>
      </c>
      <c r="P115">
        <v>174.2282764</v>
      </c>
      <c r="R115" s="82">
        <v>52.584600000000002</v>
      </c>
    </row>
    <row r="116" spans="1:18" ht="16" x14ac:dyDescent="0.2">
      <c r="A116" s="53"/>
      <c r="B116" s="47"/>
      <c r="C116">
        <v>2</v>
      </c>
      <c r="D116" s="33" t="s">
        <v>88</v>
      </c>
      <c r="E116" s="3"/>
      <c r="F116" s="33">
        <v>201.4495283</v>
      </c>
      <c r="G116" s="35"/>
      <c r="H116" s="33">
        <v>166.6076999</v>
      </c>
      <c r="I116" s="33"/>
      <c r="J116" s="90">
        <v>51.065199999999997</v>
      </c>
      <c r="L116" s="33" t="s">
        <v>88</v>
      </c>
      <c r="N116">
        <v>75.052509999999998</v>
      </c>
      <c r="P116">
        <v>285.83021500000001</v>
      </c>
      <c r="R116">
        <v>50.979900000000001</v>
      </c>
    </row>
    <row r="117" spans="1:18" ht="16" x14ac:dyDescent="0.2">
      <c r="A117" s="53"/>
      <c r="B117" s="47"/>
      <c r="C117">
        <v>3</v>
      </c>
      <c r="D117" s="33" t="s">
        <v>88</v>
      </c>
      <c r="E117" s="3"/>
      <c r="F117" s="33">
        <v>1272.057869</v>
      </c>
      <c r="G117" s="35"/>
      <c r="H117" s="33">
        <v>83.641438399999998</v>
      </c>
      <c r="I117" s="33"/>
      <c r="J117" s="90">
        <v>51.0871</v>
      </c>
      <c r="L117" s="33" t="s">
        <v>88</v>
      </c>
      <c r="N117">
        <v>290.48057679999999</v>
      </c>
      <c r="P117">
        <v>95.346653200000006</v>
      </c>
      <c r="R117">
        <v>51.025700000000001</v>
      </c>
    </row>
    <row r="118" spans="1:18" ht="16" x14ac:dyDescent="0.2">
      <c r="A118" s="53"/>
      <c r="B118" s="47"/>
      <c r="C118">
        <v>4</v>
      </c>
      <c r="D118" s="33" t="s">
        <v>88</v>
      </c>
      <c r="E118" s="3"/>
      <c r="F118" s="33">
        <v>67.802606299999994</v>
      </c>
      <c r="G118" s="35"/>
      <c r="H118" s="33">
        <v>78.636828100000002</v>
      </c>
      <c r="I118" s="33"/>
      <c r="J118" s="90">
        <v>50.910699999999999</v>
      </c>
      <c r="L118" s="33" t="s">
        <v>88</v>
      </c>
      <c r="N118">
        <v>144.97095210000001</v>
      </c>
      <c r="P118">
        <v>191.66834940000001</v>
      </c>
      <c r="R118">
        <v>50.896900000000002</v>
      </c>
    </row>
    <row r="119" spans="1:18" ht="16" x14ac:dyDescent="0.2">
      <c r="A119" s="53"/>
      <c r="B119" s="47"/>
      <c r="C119">
        <v>5</v>
      </c>
      <c r="D119" s="33" t="s">
        <v>88</v>
      </c>
      <c r="E119" s="3"/>
      <c r="F119" s="33">
        <v>284.03696109999998</v>
      </c>
      <c r="G119" s="35"/>
      <c r="H119" s="33">
        <v>78.712250999999995</v>
      </c>
      <c r="I119" s="33"/>
      <c r="J119" s="90">
        <v>50.9011</v>
      </c>
      <c r="L119" s="33" t="s">
        <v>88</v>
      </c>
      <c r="N119">
        <v>72.438531600000005</v>
      </c>
      <c r="P119">
        <v>95.527129200000005</v>
      </c>
      <c r="R119">
        <v>50.631399999999999</v>
      </c>
    </row>
    <row r="120" spans="1:18" ht="16" x14ac:dyDescent="0.2">
      <c r="A120" s="53"/>
      <c r="B120" s="47"/>
      <c r="C120">
        <v>6</v>
      </c>
      <c r="D120" s="33" t="s">
        <v>88</v>
      </c>
      <c r="E120" s="3"/>
      <c r="F120" s="33">
        <v>879.43160439999997</v>
      </c>
      <c r="G120" s="35"/>
      <c r="H120" s="33">
        <v>396.00587339999998</v>
      </c>
      <c r="I120" s="33"/>
      <c r="J120" s="90">
        <v>50.796599999999998</v>
      </c>
      <c r="L120" s="33" t="s">
        <v>88</v>
      </c>
      <c r="N120">
        <v>282.17546399999998</v>
      </c>
      <c r="P120">
        <v>97.068762699999994</v>
      </c>
      <c r="R120" s="83">
        <v>50.25</v>
      </c>
    </row>
    <row r="121" spans="1:18" ht="17" customHeight="1" x14ac:dyDescent="0.2">
      <c r="A121" s="53"/>
      <c r="B121" s="47"/>
      <c r="C121">
        <v>7</v>
      </c>
      <c r="D121" s="33" t="s">
        <v>88</v>
      </c>
      <c r="E121" s="3"/>
      <c r="F121" s="33">
        <v>280.47525990000003</v>
      </c>
      <c r="G121" s="35"/>
      <c r="H121" s="33">
        <v>242.74594289999999</v>
      </c>
      <c r="I121" s="33"/>
      <c r="J121" s="90">
        <v>51.620199999999997</v>
      </c>
      <c r="L121" s="33" t="s">
        <v>88</v>
      </c>
      <c r="N121">
        <v>290.40525339999999</v>
      </c>
      <c r="P121">
        <v>95.341222599999995</v>
      </c>
      <c r="R121">
        <v>50.871899999999997</v>
      </c>
    </row>
    <row r="122" spans="1:18" ht="17" customHeight="1" x14ac:dyDescent="0.2">
      <c r="A122" s="53"/>
      <c r="B122" s="47"/>
      <c r="C122">
        <v>8</v>
      </c>
      <c r="D122" s="33" t="s">
        <v>88</v>
      </c>
      <c r="E122" s="3"/>
      <c r="F122" s="33">
        <v>267.60222249999998</v>
      </c>
      <c r="G122" s="35"/>
      <c r="H122" s="33">
        <v>78.237251799999996</v>
      </c>
      <c r="I122" s="33"/>
      <c r="J122" s="90">
        <v>51.393599999999999</v>
      </c>
      <c r="L122" s="33" t="s">
        <v>88</v>
      </c>
      <c r="N122">
        <v>215.324352</v>
      </c>
      <c r="P122">
        <v>142.11990599999999</v>
      </c>
      <c r="R122">
        <v>50.534100000000002</v>
      </c>
    </row>
    <row r="123" spans="1:18" ht="17" customHeight="1" x14ac:dyDescent="0.2">
      <c r="A123" s="53"/>
      <c r="B123" s="47"/>
      <c r="C123">
        <v>9</v>
      </c>
      <c r="D123" s="33" t="s">
        <v>88</v>
      </c>
      <c r="E123" s="3"/>
      <c r="F123" s="33">
        <v>533.39919099999997</v>
      </c>
      <c r="G123" s="35"/>
      <c r="H123" s="33">
        <v>81.641992000000002</v>
      </c>
      <c r="I123" s="33"/>
      <c r="J123" s="90">
        <v>51.420200000000001</v>
      </c>
      <c r="L123" s="33" t="s">
        <v>88</v>
      </c>
      <c r="N123">
        <v>140.54426609999999</v>
      </c>
      <c r="P123">
        <v>69.517111099999994</v>
      </c>
      <c r="R123">
        <v>50.344099999999997</v>
      </c>
    </row>
    <row r="124" spans="1:18" ht="16" customHeight="1" x14ac:dyDescent="0.2">
      <c r="A124" s="53"/>
      <c r="B124" s="48"/>
      <c r="C124">
        <v>10</v>
      </c>
      <c r="D124" s="33" t="s">
        <v>88</v>
      </c>
      <c r="F124" s="31">
        <v>133.8128854</v>
      </c>
      <c r="G124" s="31"/>
      <c r="H124" s="31">
        <v>78.717697200000003</v>
      </c>
      <c r="I124" s="31"/>
      <c r="J124" s="92">
        <v>51.58</v>
      </c>
      <c r="L124" s="33" t="s">
        <v>88</v>
      </c>
      <c r="N124">
        <v>140.9688342</v>
      </c>
      <c r="P124">
        <v>139.7056632</v>
      </c>
      <c r="R124">
        <v>50.293900000000001</v>
      </c>
    </row>
    <row r="125" spans="1:18" ht="16" x14ac:dyDescent="0.2">
      <c r="A125" s="53"/>
      <c r="B125" s="46" t="s">
        <v>48</v>
      </c>
      <c r="C125">
        <v>1</v>
      </c>
      <c r="D125" s="33" t="s">
        <v>88</v>
      </c>
      <c r="E125" s="3"/>
      <c r="F125" s="33">
        <v>270.69364409999997</v>
      </c>
      <c r="G125" s="35"/>
      <c r="H125" s="33">
        <v>80.974393000000006</v>
      </c>
      <c r="I125" s="33"/>
      <c r="J125" s="93">
        <v>52.299199999999999</v>
      </c>
      <c r="L125" s="33" t="s">
        <v>88</v>
      </c>
      <c r="N125">
        <v>212.90962529999999</v>
      </c>
      <c r="P125">
        <v>77.481720800000005</v>
      </c>
      <c r="R125" s="33">
        <v>59.0197</v>
      </c>
    </row>
    <row r="126" spans="1:18" ht="16" x14ac:dyDescent="0.2">
      <c r="A126" s="53"/>
      <c r="B126" s="47"/>
      <c r="C126">
        <v>2</v>
      </c>
      <c r="D126" s="33" t="s">
        <v>88</v>
      </c>
      <c r="E126" s="3"/>
      <c r="F126" s="33">
        <v>333.38076480000001</v>
      </c>
      <c r="G126" s="35"/>
      <c r="H126" s="33">
        <v>87.044013899999996</v>
      </c>
      <c r="I126" s="33"/>
      <c r="J126" s="93">
        <v>50.614699999999999</v>
      </c>
      <c r="L126" s="33" t="s">
        <v>88</v>
      </c>
      <c r="N126">
        <v>217.74866639999999</v>
      </c>
      <c r="P126">
        <v>77.597401199999993</v>
      </c>
      <c r="R126" s="33">
        <v>53.289200000000001</v>
      </c>
    </row>
    <row r="127" spans="1:18" ht="16" x14ac:dyDescent="0.2">
      <c r="A127" s="53"/>
      <c r="B127" s="47"/>
      <c r="C127">
        <v>3</v>
      </c>
      <c r="D127" s="33" t="s">
        <v>88</v>
      </c>
      <c r="E127" s="3"/>
      <c r="F127" s="33">
        <v>133.3945363</v>
      </c>
      <c r="G127" s="35"/>
      <c r="H127" s="33">
        <v>88.587937499999995</v>
      </c>
      <c r="I127" s="33"/>
      <c r="J127" s="93">
        <v>50.531399999999998</v>
      </c>
      <c r="L127" s="33" t="s">
        <v>88</v>
      </c>
      <c r="N127">
        <v>212.84175049999999</v>
      </c>
      <c r="P127">
        <v>89.024965499999993</v>
      </c>
      <c r="R127" s="33">
        <v>52.644300000000001</v>
      </c>
    </row>
    <row r="128" spans="1:18" ht="16" x14ac:dyDescent="0.2">
      <c r="A128" s="53"/>
      <c r="B128" s="47"/>
      <c r="C128">
        <v>4</v>
      </c>
      <c r="D128" s="33" t="s">
        <v>88</v>
      </c>
      <c r="E128" s="3"/>
      <c r="F128" s="33">
        <v>134.57897030000001</v>
      </c>
      <c r="G128" s="35"/>
      <c r="H128" s="33">
        <v>83.735353000000003</v>
      </c>
      <c r="I128" s="33"/>
      <c r="J128" s="93">
        <v>50.688400000000001</v>
      </c>
      <c r="L128" s="33" t="s">
        <v>88</v>
      </c>
      <c r="N128">
        <v>71.781501199999994</v>
      </c>
      <c r="P128">
        <v>84.717883599999993</v>
      </c>
      <c r="R128" s="33">
        <v>51.373899999999999</v>
      </c>
    </row>
    <row r="129" spans="1:20" ht="16" x14ac:dyDescent="0.2">
      <c r="A129" s="53"/>
      <c r="B129" s="47"/>
      <c r="C129">
        <v>5</v>
      </c>
      <c r="D129" s="33" t="s">
        <v>88</v>
      </c>
      <c r="E129" s="3"/>
      <c r="F129" s="33">
        <v>199.886383</v>
      </c>
      <c r="G129" s="35"/>
      <c r="H129" s="33">
        <v>78.882186200000007</v>
      </c>
      <c r="I129" s="33"/>
      <c r="J129" s="93">
        <v>51.0458</v>
      </c>
      <c r="L129" s="33" t="s">
        <v>88</v>
      </c>
      <c r="N129">
        <v>213.31621939999999</v>
      </c>
      <c r="P129">
        <v>79.496501199999997</v>
      </c>
      <c r="R129" s="33">
        <v>50.450200000000002</v>
      </c>
    </row>
    <row r="130" spans="1:20" ht="16" x14ac:dyDescent="0.2">
      <c r="A130" s="53"/>
      <c r="B130" s="47"/>
      <c r="C130">
        <v>6</v>
      </c>
      <c r="D130" s="33" t="s">
        <v>88</v>
      </c>
      <c r="E130" s="3"/>
      <c r="F130" s="33">
        <v>200.56304929999999</v>
      </c>
      <c r="G130" s="35"/>
      <c r="H130" s="33">
        <v>77.985264799999996</v>
      </c>
      <c r="I130" s="33"/>
      <c r="J130" s="93">
        <v>51.209400000000002</v>
      </c>
      <c r="L130" s="33" t="s">
        <v>88</v>
      </c>
      <c r="N130">
        <v>348.75418839999998</v>
      </c>
      <c r="P130">
        <v>80.706606300000004</v>
      </c>
      <c r="R130" s="33">
        <v>50.359699999999997</v>
      </c>
    </row>
    <row r="131" spans="1:20" ht="17" customHeight="1" x14ac:dyDescent="0.2">
      <c r="A131" s="53"/>
      <c r="B131" s="47"/>
      <c r="C131">
        <v>7</v>
      </c>
      <c r="D131" s="33" t="s">
        <v>88</v>
      </c>
      <c r="E131" s="3"/>
      <c r="F131" s="33">
        <v>67.300184299999998</v>
      </c>
      <c r="G131" s="35"/>
      <c r="H131" s="33">
        <v>81.148442500000002</v>
      </c>
      <c r="I131" s="33"/>
      <c r="J131" s="93">
        <v>50.741500000000002</v>
      </c>
      <c r="L131" s="33" t="s">
        <v>88</v>
      </c>
      <c r="N131">
        <v>70.685447999999994</v>
      </c>
      <c r="P131">
        <v>83.2099209</v>
      </c>
      <c r="R131" s="33">
        <v>50.342700000000001</v>
      </c>
    </row>
    <row r="132" spans="1:20" ht="17" customHeight="1" x14ac:dyDescent="0.2">
      <c r="A132" s="53"/>
      <c r="B132" s="47"/>
      <c r="C132">
        <v>8</v>
      </c>
      <c r="D132" s="33" t="s">
        <v>88</v>
      </c>
      <c r="E132" s="3"/>
      <c r="F132" s="33">
        <v>133.38642379999999</v>
      </c>
      <c r="G132" s="35"/>
      <c r="H132" s="33">
        <v>77.694044700000006</v>
      </c>
      <c r="I132" s="33"/>
      <c r="J132" s="93">
        <v>50.7605</v>
      </c>
      <c r="L132" s="33" t="s">
        <v>88</v>
      </c>
      <c r="N132">
        <v>280.10586769999998</v>
      </c>
      <c r="P132">
        <v>85.678925399999997</v>
      </c>
      <c r="R132" s="33">
        <v>50.582500000000003</v>
      </c>
    </row>
    <row r="133" spans="1:20" ht="17" customHeight="1" x14ac:dyDescent="0.2">
      <c r="A133" s="53"/>
      <c r="B133" s="47"/>
      <c r="C133">
        <v>9</v>
      </c>
      <c r="D133" s="33" t="s">
        <v>88</v>
      </c>
      <c r="E133" s="3"/>
      <c r="F133" s="33">
        <v>201.64791070000001</v>
      </c>
      <c r="G133" s="35"/>
      <c r="H133" s="33">
        <v>79.305596800000004</v>
      </c>
      <c r="I133" s="33"/>
      <c r="J133" s="93">
        <v>50.810699999999997</v>
      </c>
      <c r="L133" s="33" t="s">
        <v>88</v>
      </c>
      <c r="N133">
        <v>140.0890728</v>
      </c>
      <c r="P133">
        <v>77.875469800000005</v>
      </c>
      <c r="R133" s="33">
        <v>50.709800000000001</v>
      </c>
    </row>
    <row r="134" spans="1:20" ht="16" customHeight="1" x14ac:dyDescent="0.2">
      <c r="A134" s="53"/>
      <c r="B134" s="48"/>
      <c r="C134">
        <v>10</v>
      </c>
      <c r="D134" s="33" t="s">
        <v>88</v>
      </c>
      <c r="F134" s="31">
        <v>67.006477099999998</v>
      </c>
      <c r="G134" s="31"/>
      <c r="H134" s="31">
        <v>79.388584199999997</v>
      </c>
      <c r="I134" s="31"/>
      <c r="J134" s="93">
        <v>50.944000000000003</v>
      </c>
      <c r="L134" s="33" t="s">
        <v>88</v>
      </c>
      <c r="N134">
        <v>140.0952983</v>
      </c>
      <c r="P134">
        <v>70.746495100000004</v>
      </c>
      <c r="R134" s="31">
        <v>51.292299999999997</v>
      </c>
    </row>
    <row r="135" spans="1:20" ht="16" customHeight="1" x14ac:dyDescent="0.2">
      <c r="A135" s="28"/>
      <c r="B135" s="1"/>
    </row>
    <row r="136" spans="1:20" ht="16" customHeight="1" x14ac:dyDescent="0.2">
      <c r="A136" s="28"/>
      <c r="B136" s="1" t="s">
        <v>87</v>
      </c>
      <c r="D136" s="31" t="e">
        <f t="shared" ref="D136" si="20">AVERAGE(D74:D134)</f>
        <v>#DIV/0!</v>
      </c>
      <c r="E136" s="31"/>
      <c r="F136" s="31">
        <f t="shared" ref="F136" si="21">AVERAGE(F74:F134)</f>
        <v>570.32474507166648</v>
      </c>
      <c r="G136" s="31"/>
      <c r="H136" s="31">
        <f>AVERAGE(H74:H134)</f>
        <v>212.93918055999998</v>
      </c>
      <c r="I136" s="31"/>
      <c r="J136" s="31">
        <f>AVERAGE(J74:J134)</f>
        <v>60.499589999999984</v>
      </c>
      <c r="K136" s="31"/>
      <c r="L136" s="31" t="e">
        <f t="shared" ref="L136:P136" si="22">AVERAGE(L74:L134)</f>
        <v>#DIV/0!</v>
      </c>
      <c r="M136" s="31"/>
      <c r="N136" s="31">
        <f t="shared" si="22"/>
        <v>424.62852865714297</v>
      </c>
      <c r="O136" s="31"/>
      <c r="P136" s="31">
        <f t="shared" si="22"/>
        <v>283.29640059000008</v>
      </c>
      <c r="Q136" s="31"/>
      <c r="R136" s="31">
        <f t="shared" ref="Q136:R136" si="23">AVERAGE(R74:R134)</f>
        <v>54.376823333333355</v>
      </c>
      <c r="S136" s="31"/>
      <c r="T136" s="31"/>
    </row>
    <row r="137" spans="1:20" ht="16" customHeight="1" x14ac:dyDescent="0.2">
      <c r="A137" s="28"/>
      <c r="B137" s="1" t="s">
        <v>81</v>
      </c>
      <c r="D137" s="31">
        <f t="shared" ref="D137" si="24">MIN(D74:D134)</f>
        <v>0</v>
      </c>
      <c r="E137" s="31"/>
      <c r="F137" s="31">
        <f t="shared" ref="F137" si="25">MIN(F74:F134)</f>
        <v>64.483929500000002</v>
      </c>
      <c r="G137" s="31"/>
      <c r="H137" s="31">
        <f>MIN(H74:H134)</f>
        <v>64.796429700000004</v>
      </c>
      <c r="I137" s="31"/>
      <c r="J137" s="31">
        <f>MIN(J74:J134)</f>
        <v>50.256300000000003</v>
      </c>
      <c r="K137" s="31"/>
      <c r="L137" s="31">
        <f t="shared" ref="L137:P137" si="26">MIN(L74:L134)</f>
        <v>0</v>
      </c>
      <c r="M137" s="31"/>
      <c r="N137" s="31">
        <f t="shared" si="26"/>
        <v>69.129179500000006</v>
      </c>
      <c r="O137" s="31"/>
      <c r="P137" s="31">
        <f t="shared" si="26"/>
        <v>65.962567100000001</v>
      </c>
      <c r="Q137" s="31"/>
      <c r="R137" s="31">
        <f t="shared" ref="Q137:R137" si="27">MIN(R74:R134)</f>
        <v>49.9163</v>
      </c>
      <c r="S137" s="31"/>
      <c r="T137" s="31"/>
    </row>
    <row r="138" spans="1:20" ht="16" customHeight="1" x14ac:dyDescent="0.2">
      <c r="A138" s="28"/>
      <c r="B138" s="1" t="s">
        <v>82</v>
      </c>
      <c r="D138" s="31">
        <f t="shared" ref="D138" si="28">MAX(D74:D134)</f>
        <v>0</v>
      </c>
      <c r="E138" s="31"/>
      <c r="F138" s="31">
        <f t="shared" ref="F138" si="29">MAX(F74:F134)</f>
        <v>2543.6004963999999</v>
      </c>
      <c r="G138" s="31"/>
      <c r="H138" s="31">
        <f>MAX(H74:H134)</f>
        <v>971.69256729999995</v>
      </c>
      <c r="I138" s="31"/>
      <c r="J138" s="31">
        <f>MAX(J74:J134)</f>
        <v>353.98700000000002</v>
      </c>
      <c r="K138" s="31"/>
      <c r="L138" s="31">
        <f t="shared" ref="L138:P138" si="30">MAX(L74:L134)</f>
        <v>0</v>
      </c>
      <c r="M138" s="31"/>
      <c r="N138" s="31">
        <f t="shared" si="30"/>
        <v>3419.3379930999999</v>
      </c>
      <c r="O138" s="31"/>
      <c r="P138" s="31">
        <f t="shared" si="30"/>
        <v>2129.4957175999998</v>
      </c>
      <c r="Q138" s="31"/>
      <c r="R138" s="31">
        <f t="shared" ref="Q138:R138" si="31">MAX(R74:R134)</f>
        <v>102.2818</v>
      </c>
      <c r="S138" s="31"/>
      <c r="T138" s="31"/>
    </row>
    <row r="139" spans="1:20" ht="16" customHeight="1" x14ac:dyDescent="0.2">
      <c r="A139" s="28"/>
      <c r="B139" s="1" t="s">
        <v>83</v>
      </c>
      <c r="D139" s="31" t="e">
        <f t="shared" ref="D139" si="32">STDEV(D74:D134)</f>
        <v>#DIV/0!</v>
      </c>
      <c r="E139" s="31"/>
      <c r="F139" s="31">
        <f t="shared" ref="F139" si="33">STDEV(F74:F134)</f>
        <v>551.46046394672555</v>
      </c>
      <c r="G139" s="31"/>
      <c r="H139" s="31">
        <f>STDEV(H74:H134)</f>
        <v>226.1189487780623</v>
      </c>
      <c r="I139" s="31"/>
      <c r="J139" s="31">
        <f>STDEV(J74:J134)</f>
        <v>46.769044041917475</v>
      </c>
      <c r="K139" s="31"/>
      <c r="L139" s="31" t="e">
        <f t="shared" ref="L139:P139" si="34">STDEV(L74:L134)</f>
        <v>#DIV/0!</v>
      </c>
      <c r="M139" s="31"/>
      <c r="N139" s="31">
        <f t="shared" si="34"/>
        <v>645.77916920766768</v>
      </c>
      <c r="O139" s="31"/>
      <c r="P139" s="31">
        <f t="shared" si="34"/>
        <v>356.31758150072289</v>
      </c>
      <c r="Q139" s="31"/>
      <c r="R139" s="31">
        <f t="shared" ref="Q139:R139" si="35">STDEV(R74:R134)</f>
        <v>12.653955605550385</v>
      </c>
      <c r="S139" s="31"/>
      <c r="T139" s="31"/>
    </row>
    <row r="140" spans="1:20" ht="16" x14ac:dyDescent="0.2">
      <c r="A140" s="4"/>
      <c r="D140" s="34"/>
      <c r="E140" s="19"/>
      <c r="F140" s="19"/>
      <c r="G140" s="19"/>
      <c r="H140" s="19"/>
      <c r="I140" s="19"/>
      <c r="J140" s="19"/>
    </row>
    <row r="141" spans="1:20" ht="16" x14ac:dyDescent="0.2">
      <c r="A141" s="4"/>
      <c r="D141" s="34"/>
      <c r="E141" s="19"/>
      <c r="F141" s="19"/>
      <c r="G141" s="19"/>
      <c r="H141" s="19"/>
      <c r="I141" s="19"/>
      <c r="J141" s="19"/>
    </row>
  </sheetData>
  <mergeCells count="35">
    <mergeCell ref="AL44:AO44"/>
    <mergeCell ref="AL36:AO36"/>
    <mergeCell ref="W65:AD65"/>
    <mergeCell ref="W9:Z9"/>
    <mergeCell ref="W36:Z36"/>
    <mergeCell ref="AB36:AE36"/>
    <mergeCell ref="D1:J2"/>
    <mergeCell ref="L1:R2"/>
    <mergeCell ref="J3:J4"/>
    <mergeCell ref="R3:R4"/>
    <mergeCell ref="AG36:AJ36"/>
    <mergeCell ref="AB44:AE44"/>
    <mergeCell ref="AG44:AJ44"/>
    <mergeCell ref="A74:A134"/>
    <mergeCell ref="B74:B83"/>
    <mergeCell ref="B84:B93"/>
    <mergeCell ref="B125:B134"/>
    <mergeCell ref="B115:B124"/>
    <mergeCell ref="B105:B114"/>
    <mergeCell ref="B94:B103"/>
    <mergeCell ref="B38:B47"/>
    <mergeCell ref="B48:B57"/>
    <mergeCell ref="B58:B67"/>
    <mergeCell ref="A7:A67"/>
    <mergeCell ref="W54:Z54"/>
    <mergeCell ref="AB54:AE54"/>
    <mergeCell ref="L3:L4"/>
    <mergeCell ref="N3:N4"/>
    <mergeCell ref="P3:P4"/>
    <mergeCell ref="B27:B36"/>
    <mergeCell ref="D3:D4"/>
    <mergeCell ref="F3:F4"/>
    <mergeCell ref="H3:H4"/>
    <mergeCell ref="B7:B16"/>
    <mergeCell ref="B17:B26"/>
  </mergeCells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B4A8D4FA53A74C8DD903E2AA11403B" ma:contentTypeVersion="4" ma:contentTypeDescription="Create a new document." ma:contentTypeScope="" ma:versionID="9513ce20363a6a392200d549223f9677">
  <xsd:schema xmlns:xsd="http://www.w3.org/2001/XMLSchema" xmlns:xs="http://www.w3.org/2001/XMLSchema" xmlns:p="http://schemas.microsoft.com/office/2006/metadata/properties" xmlns:ns2="e16ae15f-114f-47f3-812f-99bedbca4995" targetNamespace="http://schemas.microsoft.com/office/2006/metadata/properties" ma:root="true" ma:fieldsID="32ab30f1da6742da7917429fac681e44" ns2:_="">
    <xsd:import namespace="e16ae15f-114f-47f3-812f-99bedbca499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6ae15f-114f-47f3-812f-99bedbca49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35B239F-CB92-4DF0-9441-AC6CE80C8C2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16ae15f-114f-47f3-812f-99bedbca499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857D451-F364-4B92-BA89-D9BE453D877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A47F65F-C790-4490-A4C6-39EA686EC5F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Results</vt:lpstr>
      <vt:lpstr>Times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michael marzella</dc:creator>
  <cp:keywords/>
  <dc:description/>
  <cp:lastModifiedBy>Andrea Bombarda</cp:lastModifiedBy>
  <cp:revision/>
  <dcterms:created xsi:type="dcterms:W3CDTF">2015-06-05T18:17:20Z</dcterms:created>
  <dcterms:modified xsi:type="dcterms:W3CDTF">2026-08-27T13:07:43Z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0x0101001DB4A8D4FA53A74C8DD903E2AA11403B</vt:lpwstr>
  </property>
</Properties>
</file>